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8a1913d1c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总览" sheetId="1" r:id="R15276141965d4c29"/>
    <x:sheet xmlns:r="http://schemas.openxmlformats.org/officeDocument/2006/relationships" name="建设明细" sheetId="2" r:id="R41a4be2539124508"/>
    <x:sheet xmlns:r="http://schemas.openxmlformats.org/officeDocument/2006/relationships" name="运行费用" sheetId="3" r:id="Re7b33769e3904185"/>
    <x:sheet xmlns:r="http://schemas.openxmlformats.org/officeDocument/2006/relationships" name="范围与条款" sheetId="4" r:id="R308f74c747db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;[Red](#,##0.00);0.00"/>
    <x:numFmt numFmtId="202" formatCode="#,##0.00"/>
    <x:numFmt numFmtId="203" formatCode="0%"/>
  </x:numFmts>
  <x:fonts count="7">
    <x:font>
      <x:sz val="11"/>
      <x:name val="Carlito"/>
    </x:font>
    <x:font>
      <x:sz val="11"/>
      <x:color rgb="FF243B50"/>
      <x:name val="Microsoft YaHei"/>
    </x:font>
    <x:font>
      <x:b/>
      <x:sz val="16"/>
      <x:color rgb="FF243B50"/>
      <x:name val="Microsoft YaHei"/>
    </x:font>
    <x:font>
      <x:sz val="11"/>
      <x:color rgb="FF935500"/>
      <x:name val="Microsoft YaHei"/>
    </x:font>
    <x:font>
      <x:b/>
      <x:sz val="11"/>
      <x:color rgb="FFFFFFFF"/>
      <x:name val="Microsoft YaHei"/>
    </x:font>
    <x:font>
      <x:b/>
      <x:sz val="11"/>
      <x:color rgb="FF243B50"/>
      <x:name val="Microsoft YaHei"/>
    </x:font>
    <x:font>
      <x:b/>
      <x:sz val="13"/>
      <x:color rgb="FF243B5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1CE"/>
      </x:patternFill>
    </x:fill>
    <x:fill>
      <x:patternFill patternType="solid">
        <x:fgColor rgb="FF234A68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B491C"/>
      </x:font>
      <x:fill>
        <x:patternFill patternType="solid">
          <x:bgColor rgb="FFFFF0E6"/>
        </x:patternFill>
      </x:fill>
    </x:dxf>
    <x:dxf>
      <x:font>
        <x:b/>
        <x:color rgb="FF9B491C"/>
      </x:font>
      <x:fill>
        <x:patternFill patternType="solid">
          <x:bgColor rgb="FFFFF0E6"/>
        </x:patternFill>
      </x:fill>
    </x:dxf>
    <x:dxf>
      <x:font>
        <x:b/>
        <x:color rgb="FF9B491C"/>
      </x:font>
      <x:fill>
        <x:patternFill patternType="solid">
          <x:bgColor rgb="FFFFF0E6"/>
        </x:patternFill>
      </x:fill>
    </x:dxf>
    <x:dxf>
      <x:font>
        <x:b/>
        <x:color rgb="FF9B491C"/>
      </x:font>
      <x:fill>
        <x:patternFill patternType="solid">
          <x:bgColor rgb="FFFF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8b6df01474dab" /><Relationship Type="http://schemas.openxmlformats.org/officeDocument/2006/relationships/theme" Target="/xl/theme/theme1.xml" Id="R16bf958176624dca" /><Relationship Type="http://schemas.openxmlformats.org/officeDocument/2006/relationships/sharedStrings" Target="/xl/sharedStrings.xml" Id="Re107e32051624562" /><Relationship Type="http://schemas.openxmlformats.org/officeDocument/2006/relationships/worksheet" Target="/xl/worksheets/sheet1.xml" Id="R15276141965d4c29" /><Relationship Type="http://schemas.openxmlformats.org/officeDocument/2006/relationships/worksheet" Target="/xl/worksheets/sheet2.xml" Id="R41a4be2539124508" /><Relationship Type="http://schemas.openxmlformats.org/officeDocument/2006/relationships/worksheet" Target="/xl/worksheets/sheet3.xml" Id="Re7b33769e3904185" /><Relationship Type="http://schemas.openxmlformats.org/officeDocument/2006/relationships/worksheet" Target="/xl/worksheets/sheet4.xml" Id="R308f74c747db49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A68"/>
  </x:sheetPr>
  <x:sheetViews>
    <x:sheetView showGridLines="0" workbookViewId="0"/>
  </x:sheetViews>
  <x:sheetFormatPr defaultRowHeight="15"/>
  <x:cols>
    <x:col min="1" max="1" width="37.5" hidden="0" customWidth="1"/>
    <x:col min="2" max="2" width="30" hidden="0" customWidth="1"/>
    <x:col min="3" max="3" width="3.5" hidden="0" customWidth="1"/>
    <x:col min="4" max="4" width="41.25" hidden="0" customWidth="1"/>
    <x:col min="5" max="5" width="52.5" hidden="0" customWidth="1"/>
  </x:cols>
  <x:sheetData>
    <x:row r="1" ht="28" customHeight="1">
      <x:c r="A1" s="2"/>
      <x:c r="B1" s="2"/>
      <x:c r="C1" s="2"/>
      <x:c r="D1" s="2"/>
      <x:c r="E1" s="2"/>
    </x:row>
    <x:row r="2" ht="38" customHeight="1">
      <x:c r="A2" s="3" t="str">
        <x:v>场馆排期与需求变更 AI 软件报价</x:v>
      </x:c>
      <x:c r="B2" s="2"/>
      <x:c r="C2" s="2"/>
      <x:c r="D2" s="2"/>
      <x:c r="E2" s="2"/>
    </x:row>
    <x:row r="3" ht="28" customHeight="1">
      <x:c r="A3" s="2" t="str">
        <x:v>DHLS-SW-20261024-001 | 2026-10-24</x:v>
      </x:c>
      <x:c r="B3" s="2"/>
      <x:c r="C3" s="2"/>
      <x:c r="D3" s="2" t="str">
        <x:v>立项参考 软件尚未开始研发</x:v>
      </x:c>
      <x:c r="E3" s="2"/>
    </x:row>
    <x:row r="4" ht="28" customHeight="1">
      <x:c r="A4" s="2" t="str">
        <x:v>金额单位 人民币元 税费待财务确认</x:v>
      </x:c>
      <x:c r="B4" s="2"/>
      <x:c r="C4" s="2"/>
      <x:c r="D4" s="2"/>
      <x:c r="E4" s="2"/>
    </x:row>
    <x:row r="5" ht="28" customHeight="1">
      <x:c r="A5" s="2"/>
      <x:c r="B5" s="2"/>
      <x:c r="C5" s="2"/>
      <x:c r="D5" s="2" t="str">
        <x:v>客户单位</x:v>
      </x:c>
      <x:c r="E5" s="5" t="str">
        <x:v>待填写</x:v>
      </x:c>
    </x:row>
    <x:row r="6" ht="36" customHeight="1">
      <x:c r="A6" s="2" t="str">
        <x:v>一期基础建设</x:v>
      </x:c>
      <x:c r="B6" s="20" t="n">
        <x:f>'建设明细'!H25</x:f>
        <x:v>225000</x:v>
      </x:c>
      <x:c r="C6" s="2"/>
      <x:c r="D6" s="2" t="str">
        <x:v>报价单位</x:v>
      </x:c>
      <x:c r="E6" s="5" t="str">
        <x:v>待填写</x:v>
      </x:c>
    </x:row>
    <x:row r="7" ht="36" customHeight="1">
      <x:c r="A7" s="2" t="str">
        <x:v>已选后续扩展</x:v>
      </x:c>
      <x:c r="B7" s="20" t="n">
        <x:f>'建设明细'!H37</x:f>
        <x:v>0</x:v>
      </x:c>
      <x:c r="C7" s="2"/>
      <x:c r="D7" s="2" t="str">
        <x:v>软件版本</x:v>
      </x:c>
      <x:c r="E7" s="5" t="str">
        <x:v>V1.0 立项预算参考版</x:v>
      </x:c>
    </x:row>
    <x:row r="8" ht="36" customHeight="1">
      <x:c r="A8" s="14" t="str">
        <x:v>本次建设服务合计</x:v>
      </x:c>
      <x:c r="B8" s="26" t="n">
        <x:f>'建设明细'!H39</x:f>
        <x:v>225000</x:v>
      </x:c>
      <x:c r="C8" s="2"/>
      <x:c r="D8" s="2" t="str">
        <x:v>服务地区</x:v>
      </x:c>
      <x:c r="E8" s="5" t="str">
        <x:v>上海 以合同交付方式为准</x:v>
      </x:c>
    </x:row>
    <x:row r="9" ht="36" customHeight="1">
      <x:c r="A9" s="2" t="str">
        <x:v>建设及试点第三方资源</x:v>
      </x:c>
      <x:c r="B9" s="20" t="n">
        <x:f>'运行费用'!B23</x:f>
        <x:v>6672</x:v>
      </x:c>
      <x:c r="C9" s="2"/>
      <x:c r="D9" s="2" t="str">
        <x:v>税费及开票</x:v>
      </x:c>
      <x:c r="E9" s="5" t="str">
        <x:v>待财务确认</x:v>
      </x:c>
    </x:row>
    <x:row r="10" ht="36" customHeight="1">
      <x:c r="A10" s="2" t="str">
        <x:f>IF(COUNT('运行费用'!B6)=1,"验收后"&amp;'运行费用'!B6&amp;"个月第三方资源","验收后运行资源 月数待补")</x:f>
        <x:v>验收后12个月第三方资源</x:v>
      </x:c>
      <x:c r="B10" s="20" t="n">
        <x:f>'运行费用'!B24</x:f>
        <x:v>20016</x:v>
      </x:c>
      <x:c r="C10" s="2"/>
      <x:c r="D10" s="2" t="str">
        <x:v>报价有效期</x:v>
      </x:c>
      <x:c r="E10" s="5" t="str">
        <x:v>待双方约定</x:v>
      </x:c>
    </x:row>
    <x:row r="11" ht="36" customHeight="1">
      <x:c r="A11" s="14" t="str">
        <x:v>建设及验收后首运预算</x:v>
      </x:c>
      <x:c r="B11" s="26" t="n">
        <x:f>IF(COUNT(B8:B10)=3,SUM(B8:B10),"待补询价")</x:f>
        <x:v>251688</x:v>
      </x:c>
      <x:c r="C11" s="2"/>
      <x:c r="D11" s="2"/>
      <x:c r="E11" s="2"/>
    </x:row>
    <x:row r="12" ht="36" customHeight="1">
      <x:c r="A12" s="2" t="str">
        <x:v>后续年度运行参考 可选</x:v>
      </x:c>
      <x:c r="B12" s="20" t="n">
        <x:f>'运行费用'!B33</x:f>
        <x:v>38016</x:v>
      </x:c>
      <x:c r="C12" s="2"/>
      <x:c r="D12" s="2"/>
      <x:c r="E12" s="2"/>
    </x:row>
    <x:row r="13" ht="28" customHeight="1">
      <x:c r="A13" s="2"/>
      <x:c r="B13" s="2"/>
      <x:c r="C13" s="2"/>
      <x:c r="D13" s="2"/>
      <x:c r="E13" s="2"/>
    </x:row>
    <x:row r="14" ht="28" customHeight="1">
      <x:c r="A14" s="2" t="str">
        <x:v>一期假设：1个场馆 30个账号 3种导入模板 约16周；详见范围与条款。</x:v>
      </x:c>
      <x:c r="B14" s="2"/>
      <x:c r="C14" s="2"/>
      <x:c r="D14" s="2"/>
      <x:c r="E14" s="2"/>
    </x:row>
    <x:row r="15" ht="28" customHeight="1">
      <x:c r="A15" s="2"/>
      <x:c r="B15" s="2"/>
      <x:c r="C15" s="2"/>
      <x:c r="D15" s="2"/>
      <x:c r="E15" s="2"/>
    </x:row>
    <x:row r="16" ht="28" customHeight="1">
      <x:c r="A16" s="2"/>
      <x:c r="B16" s="2"/>
      <x:c r="C16" s="2"/>
      <x:c r="D16" s="2"/>
      <x:c r="E16" s="2"/>
    </x:row>
    <x:row r="17" ht="34" customHeight="1">
      <x:c r="A17" s="9" t="str">
        <x:v>建设款建议节点</x:v>
      </x:c>
      <x:c r="B17" s="9" t="str">
        <x:v>建议比例</x:v>
      </x:c>
      <x:c r="C17" s="9" t="str"/>
      <x:c r="D17" s="9" t="str">
        <x:v>计划金额 元</x:v>
      </x:c>
      <x:c r="E17" s="9" t="str">
        <x:v>付款条件</x:v>
      </x:c>
    </x:row>
    <x:row r="18" ht="60" customHeight="1">
      <x:c r="A18" s="2" t="str">
        <x:v>M1 需求与方案确认</x:v>
      </x:c>
      <x:c r="B18" s="28" t="n">
        <x:v>0.3</x:v>
      </x:c>
      <x:c r="C18" s="2"/>
      <x:c r="D18" s="20" t="n">
        <x:f>IF(AND(COUNT($B$18:$B$21)=4,MIN($B$18:$B$21)&gt;=0,MAX($B$18:$B$21)&lt;=1,ROUND(SUM($B$18:$B$21),6)=1,ISNUMBER($B$8)),ROUND($B$8*B18,2),"待核比例或金额")</x:f>
        <x:v>67500</x:v>
      </x:c>
      <x:c r="E18" s="10" t="str">
        <x:v>需求说明、原型、字段及规则基线、样本及AI评测口径签认</x:v>
      </x:c>
    </x:row>
    <x:row r="19" ht="60" customHeight="1">
      <x:c r="A19" s="2" t="str">
        <x:v>M2 核心功能与AI联调</x:v>
      </x:c>
      <x:c r="B19" s="28" t="n">
        <x:v>0.4</x:v>
      </x:c>
      <x:c r="C19" s="2"/>
      <x:c r="D19" s="20" t="n">
        <x:f>IF(AND(COUNT($B$18:$B$21)=4,MIN($B$18:$B$21)&gt;=0,MAX($B$18:$B$21)&lt;=1,ROUND(SUM($B$18:$B$21),6)=1,ISNUMBER($B$8)),ROUND($B$8*B19,2),"待核比例或金额")</x:f>
        <x:v>90000</x:v>
      </x:c>
      <x:c r="E19" s="10" t="str">
        <x:v>排期、冲突、变更、AI候选、人工确认及权限审计可演示</x:v>
      </x:c>
    </x:row>
    <x:row r="20" ht="60" customHeight="1">
      <x:c r="A20" s="2" t="str">
        <x:v>M3 测试与部署交付</x:v>
      </x:c>
      <x:c r="B20" s="28" t="n">
        <x:v>0.2</x:v>
      </x:c>
      <x:c r="C20" s="2"/>
      <x:c r="D20" s="20" t="n">
        <x:f>IF(AND(COUNT($B$18:$B$21)=4,MIN($B$18:$B$21)&gt;=0,MAX($B$18:$B$21)&lt;=1,ROUND(SUM($B$18:$B$21),6)=1,ISNUMBER($B$8)),ROUND($B$8*B20,2),"待核比例或金额")</x:f>
        <x:v>45000</x:v>
      </x:c>
      <x:c r="E20" s="10" t="str">
        <x:v>功能回归、越权和版本失效测试、部署、备份恢复及交付清单完成</x:v>
      </x:c>
    </x:row>
    <x:row r="21" ht="60" customHeight="1">
      <x:c r="A21" s="2" t="str">
        <x:v>M4 受控试运行与验收</x:v>
      </x:c>
      <x:c r="B21" s="28" t="n">
        <x:v>0.1</x:v>
      </x:c>
      <x:c r="C21" s="2"/>
      <x:c r="D21" s="20" t="n">
        <x:f>IF(AND(COUNT($B$18:$B$21)=4,MIN($B$18:$B$21)&gt;=0,MAX($B$18:$B$21)&lt;=1,ROUND(SUM($B$18:$B$21),6)=1,ISNUMBER($B$8)),$B$8-SUM(D18:D20),"待核比例或金额")</x:f>
        <x:v>22500</x:v>
      </x:c>
      <x:c r="E21" s="10" t="str">
        <x:v>约4周回放及受控使用、约定缺陷整改、双方验收签字</x:v>
      </x:c>
    </x:row>
    <x:row r="22" ht="28" customHeight="1">
      <x:c r="A22" s="2"/>
      <x:c r="B22" s="2"/>
      <x:c r="C22" s="2"/>
      <x:c r="D22" s="2"/>
      <x:c r="E22" s="2"/>
    </x:row>
    <x:row r="23" ht="28" customHeight="1">
      <x:c r="A23" s="2"/>
      <x:c r="B23" s="2"/>
      <x:c r="C23" s="2"/>
      <x:c r="D23" s="2"/>
      <x:c r="E23" s="2"/>
    </x:row>
    <x:row r="24" ht="28" customHeight="1">
      <x:c r="A24" s="2"/>
      <x:c r="B24" s="2"/>
      <x:c r="C24" s="2"/>
      <x:c r="D24" s="2"/>
      <x:c r="E24" s="2"/>
    </x:row>
    <x:row r="25" ht="34" customHeight="1">
      <x:c r="A25" s="9" t="str">
        <x:v>拟定里程碑</x:v>
      </x:c>
      <x:c r="B25" s="9" t="str">
        <x:v>建议时间</x:v>
      </x:c>
      <x:c r="C25" s="9" t="str"/>
      <x:c r="D25" s="9" t="str">
        <x:v>交付结果</x:v>
      </x:c>
      <x:c r="E25" s="9" t="str">
        <x:v>执行前提</x:v>
      </x:c>
    </x:row>
    <x:row r="26" ht="88" customHeight="1">
      <x:c r="A26" s="2" t="str">
        <x:v>M1 需求与方案确认</x:v>
      </x:c>
      <x:c r="B26" s="2" t="str">
        <x:v>第1至2周</x:v>
      </x:c>
      <x:c r="C26" s="2"/>
      <x:c r="D26" s="10" t="str">
        <x:v>需求说明、原型、字段及规则基线、样本及AI评测口径签认</x:v>
      </x:c>
      <x:c r="E26" s="10" t="str">
        <x:v>客户提供真实脱敏样本和规则标注人；范围书面确认。</x:v>
      </x:c>
    </x:row>
    <x:row r="27" ht="88" customHeight="1">
      <x:c r="A27" s="2" t="str">
        <x:v>M2 核心功能与AI联调</x:v>
      </x:c>
      <x:c r="B27" s="2" t="str">
        <x:v>第3至10周</x:v>
      </x:c>
      <x:c r="C27" s="2"/>
      <x:c r="D27" s="10" t="str">
        <x:v>排期、冲突、变更、AI候选、人工确认及权限审计可演示</x:v>
      </x:c>
      <x:c r="E27" s="10" t="str">
        <x:v>按确认基线实施；资料、审批或新增范围导致的排期变化另行确认。</x:v>
      </x:c>
    </x:row>
    <x:row r="28" ht="88" customHeight="1">
      <x:c r="A28" s="2" t="str">
        <x:v>M3 测试与部署交付</x:v>
      </x:c>
      <x:c r="B28" s="2" t="str">
        <x:v>第11至12周</x:v>
      </x:c>
      <x:c r="C28" s="2"/>
      <x:c r="D28" s="10" t="str">
        <x:v>功能回归、越权和版本失效测试、部署、备份恢复及交付清单完成</x:v>
      </x:c>
      <x:c r="E28" s="10" t="str">
        <x:v>按确认基线实施；资料、审批或新增范围导致的排期变化另行确认。</x:v>
      </x:c>
    </x:row>
    <x:row r="29" ht="88" customHeight="1">
      <x:c r="A29" s="2" t="str">
        <x:v>M4 受控试运行与验收</x:v>
      </x:c>
      <x:c r="B29" s="2" t="str">
        <x:v>第13至16周</x:v>
      </x:c>
      <x:c r="C29" s="2"/>
      <x:c r="D29" s="10" t="str">
        <x:v>约4周回放及受控使用、约定缺陷整改、双方验收签字</x:v>
      </x:c>
      <x:c r="E29" s="10" t="str">
        <x:v>按确认基线实施；资料、审批或新增范围导致的排期变化另行确认。</x:v>
      </x:c>
    </x:row>
    <x:row r="30" ht="28" customHeight="1">
      <x:c r="A30" s="2"/>
      <x:c r="B30" s="2"/>
      <x:c r="C30" s="2"/>
      <x:c r="D30" s="2"/>
      <x:c r="E30" s="2"/>
    </x:row>
    <x:row r="31" ht="28" customHeight="1">
      <x:c r="A31" s="2"/>
      <x:c r="B31" s="2"/>
      <x:c r="C31" s="2"/>
      <x:c r="D31" s="2"/>
      <x:c r="E31" s="2"/>
    </x:row>
    <x:row r="32" ht="28" customHeight="1">
      <x:c r="A32" s="2" t="str">
        <x:v>预算使用说明</x:v>
      </x:c>
      <x:c r="B32" s="2"/>
      <x:c r="C32" s="2"/>
      <x:c r="D32" s="2"/>
      <x:c r="E32" s="2"/>
    </x:row>
    <x:row r="33" ht="28" customHeight="1">
      <x:c r="A33" s="2"/>
      <x:c r="B33" s="2"/>
      <x:c r="C33" s="2"/>
      <x:c r="D33" s="2"/>
      <x:c r="E33" s="2"/>
    </x:row>
    <x:row r="34" ht="62" customHeight="1">
      <x:c r="A34" s="2" t="str">
        <x:v>建议价格可调整</x:v>
      </x:c>
      <x:c r="B34" s="10" t="str">
        <x:v>人日单价、模块工作量及运行费用均可修改。</x:v>
      </x:c>
      <x:c r="C34" s="2"/>
      <x:c r="D34" s="10" t="str">
        <x:v>旧调研成果不重复计费；所有新增研发能力均为拟交付，当前无成品软件。</x:v>
      </x:c>
      <x:c r="E34" s="2"/>
    </x:row>
    <x:row r="35" ht="62" customHeight="1">
      <x:c r="A35" s="2"/>
      <x:c r="B35" s="10"/>
      <x:c r="C35" s="2"/>
      <x:c r="D35" s="10"/>
      <x:c r="E35" s="2"/>
    </x:row>
    <x:row r="36" ht="62" customHeight="1">
      <x:c r="A36" s="2" t="str">
        <x:v>总额和付款口径</x:v>
      </x:c>
      <x:c r="B36" s="10" t="str">
        <x:v>建设服务费与第三方费用分开，首运预算不包含可选后续年度运维。</x:v>
      </x:c>
      <x:c r="C36" s="2"/>
      <x:c r="D36" s="10" t="str">
        <x:v>金额未默认套税率，定稿前确认含税总价；功能增删须同时修改范围和验收。</x:v>
      </x:c>
      <x:c r="E36" s="2"/>
    </x:row>
    <x:row r="37" ht="28" customHeight="1">
      <x:c r="A37" s="2"/>
      <x:c r="B37" s="2"/>
      <x:c r="C37" s="2"/>
      <x:c r="D37" s="2"/>
      <x:c r="E37" s="2"/>
    </x:row>
    <x:row r="38" ht="28" customHeight="1">
      <x:c r="A38" s="2"/>
      <x:c r="B38" s="2"/>
      <x:c r="C38" s="2"/>
      <x:c r="D38" s="2"/>
      <x:c r="E38" s="2"/>
    </x:row>
    <x:row r="39" ht="28" customHeight="1">
      <x:c r="A39" s="2"/>
      <x:c r="B39" s="2"/>
      <x:c r="C39" s="2"/>
      <x:c r="D39" s="2"/>
      <x:c r="E39" s="2"/>
    </x:row>
  </x:sheetData>
  <x:conditionalFormatting sqref="B6:B12">
    <x:cfRule type="containsText" dxfId="2" priority="1" operator="containsText" text="待"/>
  </x:conditionalFormatting>
  <x:conditionalFormatting sqref="D18:D21">
    <x:cfRule type="containsText" dxfId="3" priority="2" operator="containsText" text="待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.5" hidden="0" customWidth="1"/>
    <x:col min="2" max="2" width="13.5" hidden="0" customWidth="1"/>
    <x:col min="3" max="3" width="32.5" hidden="0" customWidth="1"/>
    <x:col min="4" max="4" width="8.130000114440918" hidden="0" customWidth="1"/>
    <x:col min="5" max="5" width="10.25" hidden="0" customWidth="1"/>
    <x:col min="6" max="6" width="14.380000114440918" hidden="0" customWidth="1"/>
    <x:col min="7" max="7" width="10" hidden="0" customWidth="1"/>
    <x:col min="8" max="8" width="17.5" hidden="0" customWidth="1"/>
    <x:col min="9" max="9" width="68.75" hidden="0" customWidth="1"/>
    <x:col min="10" max="10" width="16.87999916076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3" t="str">
        <x:v>软件研发实施建设明细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 t="str">
        <x:v>拟建软件的预算工作分解；黄色可改，蓝灰色为计算或引用；不代表已经完成开发。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8" customHeight="1">
      <x:c r="A5" s="2" t="str">
        <x:v>统一人日参考单价 元</x:v>
      </x:c>
      <x:c r="B5" s="2"/>
      <x:c r="C5" s="2"/>
      <x:c r="D5" s="2"/>
      <x:c r="E5" s="2"/>
      <x:c r="F5" s="19" t="n">
        <x:v>1500</x:v>
      </x:c>
      <x:c r="G5" s="2"/>
      <x:c r="H5" s="2"/>
      <x:c r="I5" s="2" t="str">
        <x:v>编制人建议价，非薪资或行业均价；已交付旧调研不重新收费。</x:v>
      </x:c>
      <x:c r="J5" s="2"/>
    </x:row>
    <x:row r="6" ht="28" customHeight="1">
      <x:c r="A6" s="2"/>
      <x:c r="B6" s="2"/>
      <x:c r="C6" s="2"/>
      <x:c r="D6" s="2"/>
      <x:c r="E6" s="2"/>
      <x:c r="F6" s="20"/>
      <x:c r="G6" s="2"/>
      <x:c r="H6" s="2"/>
      <x:c r="I6" s="2"/>
      <x:c r="J6" s="2"/>
    </x:row>
    <x:row r="7" ht="34" customHeight="1">
      <x:c r="A7" s="9" t="str">
        <x:v>编号</x:v>
      </x:c>
      <x:c r="B7" s="9" t="str">
        <x:v>阶段</x:v>
      </x:c>
      <x:c r="C7" s="9" t="str">
        <x:v>拟建功能或服务</x:v>
      </x:c>
      <x:c r="D7" s="9" t="str">
        <x:v>单位</x:v>
      </x:c>
      <x:c r="E7" s="9" t="str">
        <x:v>工作量</x:v>
      </x:c>
      <x:c r="F7" s="21" t="str">
        <x:v>单价 元</x:v>
      </x:c>
      <x:c r="G7" s="9" t="str">
        <x:v>选用</x:v>
      </x:c>
      <x:c r="H7" s="9" t="str">
        <x:v>金额 元</x:v>
      </x:c>
      <x:c r="I7" s="9" t="str">
        <x:v>交付及验收边界</x:v>
      </x:c>
      <x:c r="J7" s="9" t="str">
        <x:v>访谈依据</x:v>
      </x:c>
    </x:row>
    <x:row r="8" ht="66" customHeight="1">
      <x:c r="A8" s="2" t="str">
        <x:v>S01</x:v>
      </x:c>
      <x:c r="B8" s="10" t="str">
        <x:v>需求设计</x:v>
      </x:c>
      <x:c r="C8" s="10" t="str">
        <x:v>真实需求复核与范围基线</x:v>
      </x:c>
      <x:c r="D8" s="10" t="str">
        <x:v>人日</x:v>
      </x:c>
      <x:c r="E8" s="16" t="n">
        <x:v>8</x:v>
      </x:c>
      <x:c r="F8" s="20" t="n">
        <x:f>$F$5</x:f>
        <x:v>1500</x:v>
      </x:c>
      <x:c r="G8" s="5" t="str">
        <x:v>是</x:v>
      </x:c>
      <x:c r="H8" s="20" t="n">
        <x:f>IF(G8="否","",IF(G8="是",IF(COUNT(E8,F8)=2,IF(MIN(E8,F8)&lt;0,"待核输入",ROUND(E8*F8,2)),"待询价"),"待选范围"))</x:f>
        <x:v>12000</x:v>
      </x:c>
      <x:c r="I8" s="10" t="str">
        <x:v>确认岗位、字段、样本及一期范围，编制需求说明与范围确认单；不重复计取旧调研成果费用</x:v>
      </x:c>
      <x:c r="J8" s="10" t="str">
        <x:v>f00 f04 f31</x:v>
      </x:c>
    </x:row>
    <x:row r="9" ht="66" customHeight="1">
      <x:c r="A9" s="11" t="str">
        <x:v>S02</x:v>
      </x:c>
      <x:c r="B9" s="12" t="str">
        <x:v>需求设计</x:v>
      </x:c>
      <x:c r="C9" s="12" t="str">
        <x:v>业务流程与交互原型</x:v>
      </x:c>
      <x:c r="D9" s="12" t="str">
        <x:v>人日</x:v>
      </x:c>
      <x:c r="E9" s="16" t="n">
        <x:v>8</x:v>
      </x:c>
      <x:c r="F9" s="22" t="n">
        <x:f>$F$5</x:f>
        <x:v>1500</x:v>
      </x:c>
      <x:c r="G9" s="5" t="str">
        <x:v>是</x:v>
      </x:c>
      <x:c r="H9" s="22" t="n">
        <x:f>IF(G9="否","",IF(G9="是",IF(COUNT(E9,F9)=2,IF(MIN(E9,F9)&lt;0,"待核输入",ROUND(E9*F9,2)),"待询价"),"待选范围"))</x:f>
        <x:v>12000</x:v>
      </x:c>
      <x:c r="I9" s="12" t="str">
        <x:v>完成排期、变更、冲突及审批原型并评审；两轮集中修改后冻结</x:v>
      </x:c>
      <x:c r="J9" s="12" t="str">
        <x:v>f01 f20 f23</x:v>
      </x:c>
    </x:row>
    <x:row r="10" ht="66" customHeight="1">
      <x:c r="A10" s="2" t="str">
        <x:v>S03</x:v>
      </x:c>
      <x:c r="B10" s="10" t="str">
        <x:v>技术基础</x:v>
      </x:c>
      <x:c r="C10" s="10" t="str">
        <x:v>架构与数据模型设计</x:v>
      </x:c>
      <x:c r="D10" s="10" t="str">
        <x:v>人日</x:v>
      </x:c>
      <x:c r="E10" s="16" t="n">
        <x:v>6</x:v>
      </x:c>
      <x:c r="F10" s="20" t="n">
        <x:f>$F$5</x:f>
        <x:v>1500</x:v>
      </x:c>
      <x:c r="G10" s="5" t="str">
        <x:v>是</x:v>
      </x:c>
      <x:c r="H10" s="20" t="n">
        <x:f>IF(G10="否","",IF(G10="是",IF(COUNT(E10,F10)=2,IF(MIN(E10,F10)&lt;0,"待核输入",ROUND(E10*F10,2)),"待询价"),"待选范围"))</x:f>
        <x:v>9000</x:v>
      </x:c>
      <x:c r="I10" s="10" t="str">
        <x:v>定义申请编号、版本、资源、时间窗、状态及部署方案</x:v>
      </x:c>
      <x:c r="J10" s="10" t="str">
        <x:v>f24 f30 f34</x:v>
      </x:c>
    </x:row>
    <x:row r="11" ht="66" customHeight="1">
      <x:c r="A11" s="11" t="str">
        <x:v>S04</x:v>
      </x:c>
      <x:c r="B11" s="12" t="str">
        <x:v>数据接入</x:v>
      </x:c>
      <x:c r="C11" s="12" t="str">
        <x:v>只读导入与数据质量检查</x:v>
      </x:c>
      <x:c r="D11" s="12" t="str">
        <x:v>人日</x:v>
      </x:c>
      <x:c r="E11" s="16" t="n">
        <x:v>10</x:v>
      </x:c>
      <x:c r="F11" s="22" t="n">
        <x:f>$F$5</x:f>
        <x:v>1500</x:v>
      </x:c>
      <x:c r="G11" s="5" t="str">
        <x:v>是</x:v>
      </x:c>
      <x:c r="H11" s="22" t="n">
        <x:f>IF(G11="否","",IF(G11="是",IF(COUNT(E11,F11)=2,IF(MIN(E11,F11)&lt;0,"待核输入",ROUND(E11*F11,2)),"待询价"),"待选范围"))</x:f>
        <x:v>15000</x:v>
      </x:c>
      <x:c r="I11" s="12" t="str">
        <x:v>实现3类CSV或XLSX模板映射、异常行及原始来源留存；不接生产写接口</x:v>
      </x:c>
      <x:c r="J11" s="12" t="str">
        <x:v>f30 f32 f33 f35</x:v>
      </x:c>
    </x:row>
    <x:row r="12" ht="66" customHeight="1">
      <x:c r="A12" s="2" t="str">
        <x:v>S05</x:v>
      </x:c>
      <x:c r="B12" s="10" t="str">
        <x:v>排期业务</x:v>
      </x:c>
      <x:c r="C12" s="10" t="str">
        <x:v>场馆资源与排期工作台</x:v>
      </x:c>
      <x:c r="D12" s="10" t="str">
        <x:v>人日</x:v>
      </x:c>
      <x:c r="E12" s="16" t="n">
        <x:v>14</x:v>
      </x:c>
      <x:c r="F12" s="20" t="n">
        <x:f>$F$5</x:f>
        <x:v>1500</x:v>
      </x:c>
      <x:c r="G12" s="5" t="str">
        <x:v>是</x:v>
      </x:c>
      <x:c r="H12" s="20" t="n">
        <x:f>IF(G12="否","",IF(G12="是",IF(COUNT(E12,F12)=2,IF(MIN(E12,F12)&lt;0,"待核输入",ROUND(E12*F12,2)),"待询价"),"待选范围"))</x:f>
        <x:v>21000</x:v>
      </x:c>
      <x:c r="I12" s="10" t="str">
        <x:v>实现区域及共享资源、日历与列表、询期草稿和状态查询；操作留痕</x:v>
      </x:c>
      <x:c r="J12" s="10" t="str">
        <x:v>f01 f11 f31</x:v>
      </x:c>
    </x:row>
    <x:row r="13" ht="66" customHeight="1">
      <x:c r="A13" s="11" t="str">
        <x:v>S06</x:v>
      </x:c>
      <x:c r="B13" s="12" t="str">
        <x:v>排期业务</x:v>
      </x:c>
      <x:c r="C13" s="12" t="str">
        <x:v>确定性排期冲突规则</x:v>
      </x:c>
      <x:c r="D13" s="12" t="str">
        <x:v>人日</x:v>
      </x:c>
      <x:c r="E13" s="16" t="n">
        <x:v>14</x:v>
      </x:c>
      <x:c r="F13" s="22" t="n">
        <x:f>$F$5</x:f>
        <x:v>1500</x:v>
      </x:c>
      <x:c r="G13" s="5" t="str">
        <x:v>是</x:v>
      </x:c>
      <x:c r="H13" s="22" t="n">
        <x:f>IF(G13="否","",IF(G13="是",IF(COUNT(E13,F13)=2,IF(MIN(E13,F13)&lt;0,"待核输入",ROUND(E13*F13,2)),"待询价"),"待选范围"))</x:f>
        <x:v>21000</x:v>
      </x:c>
      <x:c r="I13" s="12" t="str">
        <x:v>实现约6类经确认的时间及资源规则、缓冲窗、原因和来源；不由大模型决定可用性</x:v>
      </x:c>
      <x:c r="J13" s="12" t="str">
        <x:v>f02 f11 f50</x:v>
      </x:c>
    </x:row>
    <x:row r="14" ht="66" customHeight="1">
      <x:c r="A14" s="2" t="str">
        <x:v>S07</x:v>
      </x:c>
      <x:c r="B14" s="10" t="str">
        <x:v>需求变更</x:v>
      </x:c>
      <x:c r="C14" s="10" t="str">
        <x:v>变更申请与版本差异</x:v>
      </x:c>
      <x:c r="D14" s="10" t="str">
        <x:v>人日</x:v>
      </x:c>
      <x:c r="E14" s="16" t="n">
        <x:v>12</x:v>
      </x:c>
      <x:c r="F14" s="20" t="n">
        <x:f>$F$5</x:f>
        <x:v>1500</x:v>
      </x:c>
      <x:c r="G14" s="5" t="str">
        <x:v>是</x:v>
      </x:c>
      <x:c r="H14" s="20" t="n">
        <x:f>IF(G14="否","",IF(G14="是",IF(COUNT(E14,F14)=2,IF(MIN(E14,F14)&lt;0,"待核输入",ROUND(E14*F14,2)),"待询价"),"待选范围"))</x:f>
        <x:v>18000</x:v>
      </x:c>
      <x:c r="I14" s="10" t="str">
        <x:v>实现变更提出、字段差异、影响对象、有效期、作废原因及版本追溯</x:v>
      </x:c>
      <x:c r="J14" s="10" t="str">
        <x:v>f10 f22 f24</x:v>
      </x:c>
    </x:row>
    <x:row r="15" ht="66" customHeight="1">
      <x:c r="A15" s="11" t="str">
        <x:v>S08</x:v>
      </x:c>
      <x:c r="B15" s="12" t="str">
        <x:v>AI辅助</x:v>
      </x:c>
      <x:c r="C15" s="12" t="str">
        <x:v>需求字段提取与来源定位</x:v>
      </x:c>
      <x:c r="D15" s="12" t="str">
        <x:v>人日</x:v>
      </x:c>
      <x:c r="E15" s="16" t="n">
        <x:v>12</x:v>
      </x:c>
      <x:c r="F15" s="22" t="n">
        <x:f>$F$5</x:f>
        <x:v>1500</x:v>
      </x:c>
      <x:c r="G15" s="5" t="str">
        <x:v>是</x:v>
      </x:c>
      <x:c r="H15" s="22" t="n">
        <x:f>IF(G15="否","",IF(G15="是",IF(COUNT(E15,F15)=2,IF(MIN(E15,F15)&lt;0,"待核输入",ROUND(E15*F15,2)),"待询价"),"待选范围"))</x:f>
        <x:v>18000</x:v>
      </x:c>
      <x:c r="I15" s="12" t="str">
        <x:v>实现结构化候选、来源行或原文片段和不确定项队列；不覆盖原值</x:v>
      </x:c>
      <x:c r="J15" s="12" t="str">
        <x:v>f14 f15 f31</x:v>
      </x:c>
    </x:row>
    <x:row r="16" ht="66" customHeight="1">
      <x:c r="A16" s="2" t="str">
        <x:v>S09</x:v>
      </x:c>
      <x:c r="B16" s="10" t="str">
        <x:v>AI辅助</x:v>
      </x:c>
      <x:c r="C16" s="10" t="str">
        <x:v>冲突说明与交接摘要</x:v>
      </x:c>
      <x:c r="D16" s="10" t="str">
        <x:v>人日</x:v>
      </x:c>
      <x:c r="E16" s="16" t="n">
        <x:v>8</x:v>
      </x:c>
      <x:c r="F16" s="20" t="n">
        <x:f>$F$5</x:f>
        <x:v>1500</x:v>
      </x:c>
      <x:c r="G16" s="5" t="str">
        <x:v>是</x:v>
      </x:c>
      <x:c r="H16" s="20" t="n">
        <x:f>IF(G16="否","",IF(G16="是",IF(COUNT(E16,F16)=2,IF(MIN(E16,F16)&lt;0,"待核输入",ROUND(E16*F16,2)),"待询价"),"待选范围"))</x:f>
        <x:v>12000</x:v>
      </x:c>
      <x:c r="I16" s="10" t="str">
        <x:v>实现候选说明、待办及交接清单；模型不可形成对外正式承诺</x:v>
      </x:c>
      <x:c r="J16" s="10" t="str">
        <x:v>f15 f20 f23</x:v>
      </x:c>
    </x:row>
    <x:row r="17" ht="66" customHeight="1">
      <x:c r="A17" s="11" t="str">
        <x:v>S10</x:v>
      </x:c>
      <x:c r="B17" s="12" t="str">
        <x:v>人工确认</x:v>
      </x:c>
      <x:c r="C17" s="12" t="str">
        <x:v>审批与异常复核闭环</x:v>
      </x:c>
      <x:c r="D17" s="12" t="str">
        <x:v>人日</x:v>
      </x:c>
      <x:c r="E17" s="16" t="n">
        <x:v>10</x:v>
      </x:c>
      <x:c r="F17" s="22" t="n">
        <x:f>$F$5</x:f>
        <x:v>1500</x:v>
      </x:c>
      <x:c r="G17" s="5" t="str">
        <x:v>是</x:v>
      </x:c>
      <x:c r="H17" s="22" t="n">
        <x:f>IF(G17="否","",IF(G17="是",IF(COUNT(E17,F17)=2,IF(MIN(E17,F17)&lt;0,"待核输入",ROUND(E17*F17,2)),"待询价"),"待选范围"))</x:f>
        <x:v>15000</x:v>
      </x:c>
      <x:c r="I17" s="12" t="str">
        <x:v>实现提交、授权复核、驳回补充、基线变更重算和确认链</x:v>
      </x:c>
      <x:c r="J17" s="12" t="str">
        <x:v>f14 f41 f44</x:v>
      </x:c>
    </x:row>
    <x:row r="18" ht="66" customHeight="1">
      <x:c r="A18" s="2" t="str">
        <x:v>S11</x:v>
      </x:c>
      <x:c r="B18" s="10" t="str">
        <x:v>权限审计</x:v>
      </x:c>
      <x:c r="C18" s="10" t="str">
        <x:v>权限脱敏与审计记录</x:v>
      </x:c>
      <x:c r="D18" s="10" t="str">
        <x:v>人日</x:v>
      </x:c>
      <x:c r="E18" s="16" t="n">
        <x:v>10</x:v>
      </x:c>
      <x:c r="F18" s="20" t="n">
        <x:f>$F$5</x:f>
        <x:v>1500</x:v>
      </x:c>
      <x:c r="G18" s="5" t="str">
        <x:v>是</x:v>
      </x:c>
      <x:c r="H18" s="20" t="n">
        <x:f>IF(G18="否","",IF(G18="是",IF(COUNT(E18,F18)=2,IF(MIN(E18,F18)&lt;0,"待核输入",ROUND(E18*F18,2)),"待询价"),"待选范围"))</x:f>
        <x:v>15000</x:v>
      </x:c>
      <x:c r="I18" s="10" t="str">
        <x:v>实现组织内角色权限、导出控制、访问及建议确认审计、留存配置</x:v>
      </x:c>
      <x:c r="J18" s="10" t="str">
        <x:v>f32 f41 f43 f45</x:v>
      </x:c>
    </x:row>
    <x:row r="19" ht="66" customHeight="1">
      <x:c r="A19" s="11" t="str">
        <x:v>S12</x:v>
      </x:c>
      <x:c r="B19" s="12" t="str">
        <x:v>质量测试</x:v>
      </x:c>
      <x:c r="C19" s="12" t="str">
        <x:v>功能集成与规则回归测试</x:v>
      </x:c>
      <x:c r="D19" s="12" t="str">
        <x:v>人日</x:v>
      </x:c>
      <x:c r="E19" s="16" t="n">
        <x:v>12</x:v>
      </x:c>
      <x:c r="F19" s="22" t="n">
        <x:f>$F$5</x:f>
        <x:v>1500</x:v>
      </x:c>
      <x:c r="G19" s="5" t="str">
        <x:v>是</x:v>
      </x:c>
      <x:c r="H19" s="22" t="n">
        <x:f>IF(G19="否","",IF(G19="是",IF(COUNT(E19,F19)=2,IF(MIN(E19,F19)&lt;0,"待核输入",ROUND(E19*F19,2)),"待询价"),"待选范围"))</x:f>
        <x:v>18000</x:v>
      </x:c>
      <x:c r="I19" s="12" t="str">
        <x:v>提供测试计划、回归用例及缺陷记录，覆盖越权、版本失效和冲突分支</x:v>
      </x:c>
      <x:c r="J19" s="12" t="str">
        <x:v>f02 f42 f44</x:v>
      </x:c>
    </x:row>
    <x:row r="20" ht="66" customHeight="1">
      <x:c r="A20" s="2" t="str">
        <x:v>S13</x:v>
      </x:c>
      <x:c r="B20" s="10" t="str">
        <x:v>AI评测</x:v>
      </x:c>
      <x:c r="C20" s="10" t="str">
        <x:v>模型评测与人工核验</x:v>
      </x:c>
      <x:c r="D20" s="10" t="str">
        <x:v>人日</x:v>
      </x:c>
      <x:c r="E20" s="16" t="n">
        <x:v>8</x:v>
      </x:c>
      <x:c r="F20" s="20" t="n">
        <x:f>$F$5</x:f>
        <x:v>1500</x:v>
      </x:c>
      <x:c r="G20" s="5" t="str">
        <x:v>是</x:v>
      </x:c>
      <x:c r="H20" s="20" t="n">
        <x:f>IF(G20="否","",IF(G20="是",IF(COUNT(E20,F20)=2,IF(MIN(E20,F20)&lt;0,"待核输入",ROUND(E20*F20,2)),"待询价"),"待选范围"))</x:f>
        <x:v>12000</x:v>
      </x:c>
      <x:c r="I20" s="10" t="str">
        <x:v>与客户建立标注集，输出字段提取和误报漏报评测；不承诺生产环境100%准确</x:v>
      </x:c>
      <x:c r="J20" s="10" t="str">
        <x:v>f42 f51 f55</x:v>
      </x:c>
    </x:row>
    <x:row r="21" ht="66" customHeight="1">
      <x:c r="A21" s="11" t="str">
        <x:v>S14</x:v>
      </x:c>
      <x:c r="B21" s="12" t="str">
        <x:v>部署试行</x:v>
      </x:c>
      <x:c r="C21" s="12" t="str">
        <x:v>部署备份与试运行支持</x:v>
      </x:c>
      <x:c r="D21" s="12" t="str">
        <x:v>人日</x:v>
      </x:c>
      <x:c r="E21" s="16" t="n">
        <x:v>6</x:v>
      </x:c>
      <x:c r="F21" s="22" t="n">
        <x:f>$F$5</x:f>
        <x:v>1500</x:v>
      </x:c>
      <x:c r="G21" s="5" t="str">
        <x:v>是</x:v>
      </x:c>
      <x:c r="H21" s="22" t="n">
        <x:f>IF(G21="否","",IF(G21="是",IF(COUNT(E21,F21)=2,IF(MIN(E21,F21)&lt;0,"待核输入",ROUND(E21*F21,2)),"待询价"),"待选范围"))</x:f>
        <x:v>9000</x:v>
      </x:c>
      <x:c r="I21" s="12" t="str">
        <x:v>完成两套环境配置、备份恢复演练和约4周受控试运行支持；非4周完成全部研发</x:v>
      </x:c>
      <x:c r="J21" s="12" t="str">
        <x:v>f03 f35</x:v>
      </x:c>
    </x:row>
    <x:row r="22" ht="66" customHeight="1">
      <x:c r="A22" s="2" t="str">
        <x:v>S15</x:v>
      </x:c>
      <x:c r="B22" s="10" t="str">
        <x:v>交付培训</x:v>
      </x:c>
      <x:c r="C22" s="10" t="str">
        <x:v>源码文档与使用培训</x:v>
      </x:c>
      <x:c r="D22" s="10" t="str">
        <x:v>人日</x:v>
      </x:c>
      <x:c r="E22" s="16" t="n">
        <x:v>4</x:v>
      </x:c>
      <x:c r="F22" s="20" t="n">
        <x:f>$F$5</x:f>
        <x:v>1500</x:v>
      </x:c>
      <x:c r="G22" s="5" t="str">
        <x:v>是</x:v>
      </x:c>
      <x:c r="H22" s="20" t="n">
        <x:f>IF(G22="否","",IF(G22="是",IF(COUNT(E22,F22)=2,IF(MIN(E22,F22)&lt;0,"待核输入",ROUND(E22*F22,2)),"待询价"),"待选范围"))</x:f>
        <x:v>6000</x:v>
      </x:c>
      <x:c r="I22" s="10" t="str">
        <x:v>交付约定范围源码、数据字典、部署及操作文档、依赖清单和2次远程培训</x:v>
      </x:c>
      <x:c r="J22" s="10" t="str">
        <x:v>交付建议</x:v>
      </x:c>
    </x:row>
    <x:row r="23" ht="66" customHeight="1">
      <x:c r="A23" s="11" t="str">
        <x:v>S16</x:v>
      </x:c>
      <x:c r="B23" s="12" t="str">
        <x:v>项目管理</x:v>
      </x:c>
      <x:c r="C23" s="12" t="str">
        <x:v>项目计划与验收协调</x:v>
      </x:c>
      <x:c r="D23" s="12" t="str">
        <x:v>人日</x:v>
      </x:c>
      <x:c r="E23" s="16" t="n">
        <x:v>8</x:v>
      </x:c>
      <x:c r="F23" s="22" t="n">
        <x:f>$F$5</x:f>
        <x:v>1500</x:v>
      </x:c>
      <x:c r="G23" s="5" t="str">
        <x:v>是</x:v>
      </x:c>
      <x:c r="H23" s="22" t="n">
        <x:f>IF(G23="否","",IF(G23="是",IF(COUNT(E23,F23)=2,IF(MIN(E23,F23)&lt;0,"待核输入",ROUND(E23*F23,2)),"待询价"),"待选范围"))</x:f>
        <x:v>12000</x:v>
      </x:c>
      <x:c r="I23" s="12" t="str">
        <x:v>提供里程碑、风险与需求变更记录，组织评审及验收；不另按比例加收管理费</x:v>
      </x:c>
      <x:c r="J23" s="12" t="str">
        <x:v>实施建议</x:v>
      </x:c>
    </x:row>
    <x:row r="24" ht="28" customHeight="1">
      <x:c r="A24" s="2"/>
      <x:c r="B24" s="2"/>
      <x:c r="C24" s="2"/>
      <x:c r="D24" s="2"/>
      <x:c r="E24" s="17"/>
      <x:c r="F24" s="20"/>
      <x:c r="G24" s="2"/>
      <x:c r="H24" s="20"/>
      <x:c r="I24" s="2"/>
      <x:c r="J24" s="2"/>
    </x:row>
    <x:row r="25" ht="28" customHeight="1">
      <x:c r="A25" s="2"/>
      <x:c r="B25" s="2"/>
      <x:c r="C25" s="2" t="str">
        <x:v>一期基础建设参考</x:v>
      </x:c>
      <x:c r="D25" s="2"/>
      <x:c r="E25" s="17"/>
      <x:c r="F25" s="20"/>
      <x:c r="G25" s="2"/>
      <x:c r="H25" s="20" t="n">
        <x:f>IF(COUNTIFS(H8:H23,"待询价")+COUNTIFS(H8:H23,"待核输入")+COUNTIFS(H8:H23,"待选范围")&gt;0,"待补询价",SUM(H8:H23))</x:f>
        <x:v>225000</x:v>
      </x:c>
      <x:c r="I25" s="2"/>
      <x:c r="J25" s="2"/>
    </x:row>
    <x:row r="26" ht="28" customHeight="1">
      <x:c r="A26" s="2"/>
      <x:c r="B26" s="2"/>
      <x:c r="C26" s="2" t="str">
        <x:v>基础项已选人日</x:v>
      </x:c>
      <x:c r="D26" s="2"/>
      <x:c r="E26" s="17" t="n">
        <x:f>SUMIFS(E8:E23,G8:G23,"是")</x:f>
        <x:v>150</x:v>
      </x:c>
      <x:c r="F26" s="20"/>
      <x:c r="G26" s="2"/>
      <x:c r="H26" s="20"/>
      <x:c r="I26" s="2" t="str">
        <x:v>取消任何基础项，须同步调整范围和验收基线；报价不自动确认系统仍然完整。</x:v>
      </x:c>
      <x:c r="J26" s="2"/>
    </x:row>
    <x:row r="27" ht="28" customHeight="1">
      <x:c r="A27" s="2"/>
      <x:c r="B27" s="2"/>
      <x:c r="C27" s="2"/>
      <x:c r="D27" s="2"/>
      <x:c r="E27" s="17"/>
      <x:c r="F27" s="20"/>
      <x:c r="G27" s="2"/>
      <x:c r="H27" s="20"/>
      <x:c r="I27" s="2"/>
      <x:c r="J27" s="2"/>
    </x:row>
    <x:row r="28" ht="28" customHeight="1">
      <x:c r="A28" s="2"/>
      <x:c r="B28" s="2"/>
      <x:c r="C28" s="2"/>
      <x:c r="D28" s="2"/>
      <x:c r="E28" s="17"/>
      <x:c r="F28" s="20"/>
      <x:c r="G28" s="2"/>
      <x:c r="H28" s="20"/>
      <x:c r="I28" s="2"/>
      <x:c r="J28" s="2"/>
    </x:row>
    <x:row r="29" ht="34" customHeight="1">
      <x:c r="A29" s="9" t="str">
        <x:v>编号</x:v>
      </x:c>
      <x:c r="B29" s="9" t="str">
        <x:v>后续扩展</x:v>
      </x:c>
      <x:c r="C29" s="9" t="str">
        <x:v>可选能力</x:v>
      </x:c>
      <x:c r="D29" s="9" t="str">
        <x:v>单位</x:v>
      </x:c>
      <x:c r="E29" s="18" t="str">
        <x:v>工作量</x:v>
      </x:c>
      <x:c r="F29" s="21" t="str">
        <x:v>单价 元</x:v>
      </x:c>
      <x:c r="G29" s="9" t="str">
        <x:v>选用</x:v>
      </x:c>
      <x:c r="H29" s="21" t="str">
        <x:v>金额 元</x:v>
      </x:c>
      <x:c r="I29" s="9" t="str">
        <x:v>范围边界 默认不计价</x:v>
      </x:c>
      <x:c r="J29" s="9" t="str">
        <x:v>依据</x:v>
      </x:c>
    </x:row>
    <x:row r="30" ht="64" customHeight="1">
      <x:c r="A30" s="2" t="str">
        <x:v>O01</x:v>
      </x:c>
      <x:c r="B30" s="2" t="str">
        <x:v>可选扩展</x:v>
      </x:c>
      <x:c r="C30" s="10" t="str">
        <x:v>多场馆与跨组织隔离</x:v>
      </x:c>
      <x:c r="D30" s="10" t="str">
        <x:v>人日</x:v>
      </x:c>
      <x:c r="E30" s="16" t="n">
        <x:v>20</x:v>
      </x:c>
      <x:c r="F30" s="23" t="n">
        <x:f>$F$5</x:f>
        <x:v>1500</x:v>
      </x:c>
      <x:c r="G30" s="5" t="str">
        <x:v>否</x:v>
      </x:c>
      <x:c r="H30" s="20" t="str">
        <x:f>IF(G30="否","",IF(G30="是",IF(COUNT(E30,F30)=2,IF(MIN(E30,F30)&lt;0,"待核输入",ROUND(E30*F30,2)),"待询价"),"待选范围"))</x:f>
      </x:c>
      <x:c r="I30" s="10" t="str">
        <x:v>多场馆及租户隔离，须重新明确数量及数据权限</x:v>
      </x:c>
      <x:c r="J30" s="10" t="str">
        <x:v>预算假设</x:v>
      </x:c>
    </x:row>
    <x:row r="31" ht="64" customHeight="1">
      <x:c r="A31" s="2" t="str">
        <x:v>O02</x:v>
      </x:c>
      <x:c r="B31" s="2" t="str">
        <x:v>可选扩展</x:v>
      </x:c>
      <x:c r="C31" s="10" t="str">
        <x:v>既有系统API与授权写回</x:v>
      </x:c>
      <x:c r="D31" s="10" t="str">
        <x:v>人日</x:v>
      </x:c>
      <x:c r="E31" s="16" t="n">
        <x:v>15</x:v>
      </x:c>
      <x:c r="F31" s="23" t="n">
        <x:f>$F$5</x:f>
        <x:v>1500</x:v>
      </x:c>
      <x:c r="G31" s="5" t="str">
        <x:v>否</x:v>
      </x:c>
      <x:c r="H31" s="20" t="str">
        <x:f>IF(G31="否","",IF(G31="是",IF(COUNT(E31,F31)=2,IF(MIN(E31,F31)&lt;0,"待核输入",ROUND(E31*F31,2)),"待询价"),"待选范围"))</x:f>
      </x:c>
      <x:c r="I31" s="10" t="str">
        <x:v>暂按1个对接系统；须先完成接口和权限评估，不自动沿用一期只读授权</x:v>
      </x:c>
      <x:c r="J31" s="10" t="str">
        <x:v>预算假设</x:v>
      </x:c>
    </x:row>
    <x:row r="32" ht="64" customHeight="1">
      <x:c r="A32" s="2" t="str">
        <x:v>O03</x:v>
      </x:c>
      <x:c r="B32" s="2" t="str">
        <x:v>可选扩展</x:v>
      </x:c>
      <x:c r="C32" s="10" t="str">
        <x:v>移动端或企业微信入口</x:v>
      </x:c>
      <x:c r="D32" s="10" t="str">
        <x:v>人日</x:v>
      </x:c>
      <x:c r="E32" s="16" t="n">
        <x:v>15</x:v>
      </x:c>
      <x:c r="F32" s="23" t="n">
        <x:f>$F$5</x:f>
        <x:v>1500</x:v>
      </x:c>
      <x:c r="G32" s="5" t="str">
        <x:v>否</x:v>
      </x:c>
      <x:c r="H32" s="20" t="str">
        <x:f>IF(G32="否","",IF(G32="是",IF(COUNT(E32,F32)=2,IF(MIN(E32,F32)&lt;0,"待核输入",ROUND(E32*F32,2)),"待询价"),"待选范围"))</x:f>
      </x:c>
      <x:c r="I32" s="10" t="str">
        <x:v>暂按1种入口；外部消息发送能力需另行明确授权</x:v>
      </x:c>
      <x:c r="J32" s="10" t="str">
        <x:v>预算假设</x:v>
      </x:c>
    </x:row>
    <x:row r="33" ht="64" customHeight="1">
      <x:c r="A33" s="2" t="str">
        <x:v>O04</x:v>
      </x:c>
      <x:c r="B33" s="2" t="str">
        <x:v>可选扩展</x:v>
      </x:c>
      <x:c r="C33" s="10" t="str">
        <x:v>统一身份认证SSO</x:v>
      </x:c>
      <x:c r="D33" s="10" t="str">
        <x:v>人日</x:v>
      </x:c>
      <x:c r="E33" s="16" t="n">
        <x:v>6</x:v>
      </x:c>
      <x:c r="F33" s="23" t="n">
        <x:f>$F$5</x:f>
        <x:v>1500</x:v>
      </x:c>
      <x:c r="G33" s="5" t="str">
        <x:v>否</x:v>
      </x:c>
      <x:c r="H33" s="20" t="str">
        <x:f>IF(G33="否","",IF(G33="是",IF(COUNT(E33,F33)=2,IF(MIN(E33,F33)&lt;0,"待核输入",ROUND(E33*F33,2)),"待询价"),"待选范围"))</x:f>
      </x:c>
      <x:c r="I33" s="10" t="str">
        <x:v>暂按1个标准身份提供方，实际协议及联调条件待确认</x:v>
      </x:c>
      <x:c r="J33" s="10" t="str">
        <x:v>预算假设</x:v>
      </x:c>
    </x:row>
    <x:row r="34" ht="64" customHeight="1">
      <x:c r="A34" s="2" t="str">
        <x:v>O05</x:v>
      </x:c>
      <x:c r="B34" s="2" t="str">
        <x:v>可选扩展</x:v>
      </x:c>
      <x:c r="C34" s="10" t="str">
        <x:v>扫描件OCR与版面解析</x:v>
      </x:c>
      <x:c r="D34" s="10" t="str">
        <x:v>人日</x:v>
      </x:c>
      <x:c r="E34" s="16" t="n">
        <x:v>8</x:v>
      </x:c>
      <x:c r="F34" s="23" t="n">
        <x:f>$F$5</x:f>
        <x:v>1500</x:v>
      </x:c>
      <x:c r="G34" s="5" t="str">
        <x:v>否</x:v>
      </x:c>
      <x:c r="H34" s="20" t="str">
        <x:f>IF(G34="否","",IF(G34="是",IF(COUNT(E34,F34)=2,IF(MIN(E34,F34)&lt;0,"待核输入",ROUND(E34*F34,2)),"待询价"),"待选范围"))</x:f>
      </x:c>
      <x:c r="I34" s="10" t="str">
        <x:v>增加1类扫描件识别流程，OCR第三方按量费用另计</x:v>
      </x:c>
      <x:c r="J34" s="10" t="str">
        <x:v>预算假设</x:v>
      </x:c>
    </x:row>
    <x:row r="35" ht="64" customHeight="1">
      <x:c r="A35" s="2" t="str">
        <x:v>O06</x:v>
      </x:c>
      <x:c r="B35" s="2" t="str">
        <x:v>可选扩展</x:v>
      </x:c>
      <x:c r="C35" s="10" t="str">
        <x:v>私有模型与专用算力部署</x:v>
      </x:c>
      <x:c r="D35" s="10" t="str">
        <x:v>项</x:v>
      </x:c>
      <x:c r="E35" s="16" t="n">
        <x:v>1</x:v>
      </x:c>
      <x:c r="F35" s="19"/>
      <x:c r="G35" s="5" t="str">
        <x:v>否</x:v>
      </x:c>
      <x:c r="H35" s="20" t="str">
        <x:f>IF(G35="否","",IF(G35="是",IF(COUNT(E35,F35)=2,IF(MIN(E35,F35)&lt;0,"待核输入",ROUND(E35*F35,2)),"待询价"),"待选范围"))</x:f>
      </x:c>
      <x:c r="I35" s="10" t="str">
        <x:v>需评估模型许可、GPU规格、安全与运维，未询价不默认为零元</x:v>
      </x:c>
      <x:c r="J35" s="10" t="str">
        <x:v>预算假设</x:v>
      </x:c>
    </x:row>
    <x:row r="36" ht="28" customHeight="1">
      <x:c r="A36" s="2"/>
      <x:c r="B36" s="2"/>
      <x:c r="C36" s="2"/>
      <x:c r="D36" s="2"/>
      <x:c r="E36" s="2"/>
      <x:c r="F36" s="2"/>
      <x:c r="G36" s="2"/>
      <x:c r="H36" s="20"/>
      <x:c r="I36" s="2"/>
      <x:c r="J36" s="2"/>
    </x:row>
    <x:row r="37" ht="28" customHeight="1">
      <x:c r="A37" s="2"/>
      <x:c r="B37" s="2"/>
      <x:c r="C37" s="2" t="str">
        <x:v>已选扩展参考合计</x:v>
      </x:c>
      <x:c r="D37" s="2"/>
      <x:c r="E37" s="2"/>
      <x:c r="F37" s="2"/>
      <x:c r="G37" s="2"/>
      <x:c r="H37" s="20" t="n">
        <x:f>IF(COUNTIFS(H30:H35,"待询价")+COUNTIFS(H30:H35,"待核输入")+COUNTIFS(H30:H35,"待选范围")&gt;0,"待补询价",SUM(H30:H35))</x:f>
        <x:v>0</x:v>
      </x:c>
      <x:c r="I37" s="2"/>
      <x:c r="J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0"/>
      <x:c r="I38" s="2"/>
      <x:c r="J38" s="2"/>
    </x:row>
    <x:row r="39" ht="28" customHeight="1">
      <x:c r="A39" s="2"/>
      <x:c r="B39" s="2"/>
      <x:c r="C39" s="15" t="str">
        <x:v>本次建设服务合计</x:v>
      </x:c>
      <x:c r="D39" s="15"/>
      <x:c r="E39" s="15"/>
      <x:c r="F39" s="15"/>
      <x:c r="G39" s="15"/>
      <x:c r="H39" s="24" t="n">
        <x:f>IF(COUNT(H25,H37)=2,SUM(H25,H37),"待补询价")</x:f>
        <x:v>225000</x:v>
      </x:c>
      <x:c r="I39" s="15"/>
      <x:c r="J39" s="15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8" customHeight="1">
      <x:c r="A42" s="2"/>
      <x:c r="B42" s="2"/>
      <x:c r="C42" s="2" t="str">
        <x:v>第三方资源和后续运维另列；无额外重复计提管理费，发票与税费口径待确认。</x:v>
      </x:c>
      <x:c r="D42" s="2"/>
      <x:c r="E42" s="2"/>
      <x:c r="F42" s="2"/>
      <x:c r="G42" s="2"/>
      <x:c r="H42" s="2"/>
      <x:c r="I42" s="2"/>
      <x:c r="J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</x:sheetData>
  <x:conditionalFormatting sqref="H8:H39">
    <x:cfRule type="containsText" dxfId="0" priority="1" operator="containsText" text="待"/>
  </x:conditionalFormatting>
  <x:dataValidations count="2">
    <x:dataValidation type="list" sqref="G8:G23">
      <x:formula1>"是,否"</x:formula1>
    </x:dataValidation>
    <x:dataValidation type="list" sqref="G30:G35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5AC"/>
  </x:sheetPr>
  <x:sheetViews>
    <x:sheetView showGridLines="0" workbookViewId="0"/>
  </x:sheetViews>
  <x:sheetFormatPr defaultRowHeight="15"/>
  <x:cols>
    <x:col min="1" max="1" width="36.25" hidden="0" customWidth="1"/>
    <x:col min="2" max="2" width="25" hidden="0" customWidth="1"/>
    <x:col min="3" max="3" width="3.5" hidden="0" customWidth="1"/>
    <x:col min="4" max="4" width="112.5" hidden="0" customWidth="1"/>
  </x:cols>
  <x:sheetData>
    <x:row r="1" ht="28" customHeight="1">
      <x:c r="A1" s="2"/>
      <x:c r="B1" s="2"/>
      <x:c r="C1" s="2"/>
      <x:c r="D1" s="2"/>
    </x:row>
    <x:row r="2" ht="38" customHeight="1">
      <x:c r="A2" s="3" t="str">
        <x:v>第三方资源与后续运维估算</x:v>
      </x:c>
      <x:c r="B2" s="2"/>
      <x:c r="C2" s="2"/>
      <x:c r="D2" s="2"/>
    </x:row>
    <x:row r="3" ht="28" customHeight="1">
      <x:c r="A3" s="2"/>
      <x:c r="B3" s="2"/>
      <x:c r="C3" s="2"/>
      <x:c r="D3" s="2"/>
    </x:row>
    <x:row r="4" ht="34" customHeight="1">
      <x:c r="A4" s="9" t="str">
        <x:v>可修改测算参数</x:v>
      </x:c>
      <x:c r="B4" s="9" t="str">
        <x:v>参考输入</x:v>
      </x:c>
      <x:c r="C4" s="2"/>
      <x:c r="D4" s="2"/>
    </x:row>
    <x:row r="5" ht="48" customHeight="1">
      <x:c r="A5" s="2" t="str">
        <x:v>建设及试点资源月数</x:v>
      </x:c>
      <x:c r="B5" s="25" t="n">
        <x:v>4</x:v>
      </x:c>
      <x:c r="C5" s="2"/>
      <x:c r="D5" s="10" t="str">
        <x:v>建设期4个月为16周排期的预算取整；按实际启用月数调整，不与验收后12个月重复。</x:v>
      </x:c>
    </x:row>
    <x:row r="6" ht="28" customHeight="1">
      <x:c r="A6" s="2" t="str">
        <x:v>验收后运行月数</x:v>
      </x:c>
      <x:c r="B6" s="25" t="n">
        <x:v>12</x:v>
      </x:c>
      <x:c r="C6" s="2"/>
      <x:c r="D6" s="2"/>
    </x:row>
    <x:row r="7" ht="48" customHeight="1">
      <x:c r="A7" s="2" t="str">
        <x:v>应用及数据库云资源 元/月</x:v>
      </x:c>
      <x:c r="B7" s="25" t="n">
        <x:v>1200</x:v>
      </x:c>
      <x:c r="C7" s="2"/>
      <x:c r="D7" s="10" t="str">
        <x:v>云、备份月费为容量预留假设，非云厂商正式配置报价；不含专用GPU。</x:v>
      </x:c>
    </x:row>
    <x:row r="8" ht="28" customHeight="1">
      <x:c r="A8" s="2" t="str">
        <x:v>备份 存储及日志 元/月</x:v>
      </x:c>
      <x:c r="B8" s="25" t="n">
        <x:v>300</x:v>
      </x:c>
      <x:c r="C8" s="2"/>
      <x:c r="D8" s="2"/>
    </x:row>
    <x:row r="9" ht="48" customHeight="1">
      <x:c r="A9" s="2" t="str">
        <x:v>月计费模型请求数</x:v>
      </x:c>
      <x:c r="B9" s="25" t="n">
        <x:v>10000</x:v>
      </x:c>
      <x:c r="C9" s="2"/>
      <x:c r="D9" s="10" t="str">
        <x:v>请求数指计费API请求，包含重试及工具往返，不等于业务申请单数量。</x:v>
      </x:c>
    </x:row>
    <x:row r="10" ht="28" customHeight="1">
      <x:c r="A10" s="2" t="str">
        <x:v>每请求平均计费输入 token</x:v>
      </x:c>
      <x:c r="B10" s="25" t="n">
        <x:v>6000</x:v>
      </x:c>
      <x:c r="C10" s="2"/>
      <x:c r="D10" s="2"/>
    </x:row>
    <x:row r="11" ht="48" customHeight="1">
      <x:c r="A11" s="2" t="str">
        <x:v>每请求平均计费输出 token</x:v>
      </x:c>
      <x:c r="B11" s="25" t="n">
        <x:v>1500</x:v>
      </x:c>
      <x:c r="C11" s="2"/>
      <x:c r="D11" s="10" t="str">
        <x:v>计费输入输出应包含历史、提示词和思考开销；6000 / 1500为可改假设。</x:v>
      </x:c>
    </x:row>
    <x:row r="12" ht="28" customHeight="1">
      <x:c r="A12" s="2" t="str">
        <x:v>输入单价 元/百万token</x:v>
      </x:c>
      <x:c r="B12" s="25" t="n">
        <x:v>0.8</x:v>
      </x:c>
      <x:c r="C12" s="2"/>
      <x:c r="D12" s="2"/>
    </x:row>
    <x:row r="13" ht="48" customHeight="1">
      <x:c r="A13" s="2" t="str">
        <x:v>输出单价 元/百万token</x:v>
      </x:c>
      <x:c r="B13" s="25" t="n">
        <x:v>8</x:v>
      </x:c>
      <x:c r="C13" s="2"/>
      <x:c r="D13" s="10" t="str">
        <x:v>P1档位：每次输入≤32千token且输出&gt;0.2千token；跨档须改单价。缓存折扣未计入。</x:v>
      </x:c>
    </x:row>
    <x:row r="14" ht="28" customHeight="1">
      <x:c r="A14" s="2"/>
      <x:c r="B14" s="2"/>
      <x:c r="C14" s="2"/>
      <x:c r="D14" s="2"/>
    </x:row>
    <x:row r="15" ht="28" customHeight="1">
      <x:c r="A15" s="2"/>
      <x:c r="B15" s="2"/>
      <x:c r="C15" s="2"/>
      <x:c r="D15" s="2"/>
    </x:row>
    <x:row r="16" ht="28" customHeight="1">
      <x:c r="A16" s="2"/>
      <x:c r="B16" s="2"/>
      <x:c r="C16" s="2"/>
      <x:c r="D16" s="2"/>
    </x:row>
    <x:row r="17" ht="28" customHeight="1">
      <x:c r="A17" s="2" t="str">
        <x:v>月输入 百万token</x:v>
      </x:c>
      <x:c r="B17" s="20" t="n">
        <x:f>IF(COUNT(B9:B10)=2,IF(MIN(B9:B10)&lt;0,"待核输入",B9*B10/1000000),"待补参数")</x:f>
        <x:v>60</x:v>
      </x:c>
      <x:c r="C17" s="2"/>
      <x:c r="D17" s="2"/>
    </x:row>
    <x:row r="18" ht="28" customHeight="1">
      <x:c r="A18" s="2" t="str">
        <x:v>月输出 百万token</x:v>
      </x:c>
      <x:c r="B18" s="20" t="n">
        <x:f>IF(COUNT(B9,B11)=2,IF(MIN(B9,B11)&lt;0,"待核输入",B9*B11/1000000),"待补参数")</x:f>
        <x:v>15</x:v>
      </x:c>
      <x:c r="C18" s="2"/>
      <x:c r="D18" s="2"/>
    </x:row>
    <x:row r="19" ht="28" customHeight="1">
      <x:c r="A19" s="2" t="str">
        <x:v>模型调用参考 元/月</x:v>
      </x:c>
      <x:c r="B19" s="20" t="n">
        <x:f>IF(COUNT(B17:B18,B12:B13)=4,IF(MIN(B12:B13)&lt;0,"待核输入",ROUND(B17*B12+B18*B13,2)),"待补参数")</x:f>
        <x:v>168</x:v>
      </x:c>
      <x:c r="C19" s="2"/>
      <x:c r="D19" s="2"/>
    </x:row>
    <x:row r="20" ht="28" customHeight="1">
      <x:c r="A20" s="2" t="str">
        <x:v>云及备份参考 元/月</x:v>
      </x:c>
      <x:c r="B20" s="20" t="n">
        <x:f>IF(COUNT(B7:B8)=2,IF(MIN(B7:B8)&lt;0,"待核输入",SUM(B7:B8)),"待补参数")</x:f>
        <x:v>1500</x:v>
      </x:c>
      <x:c r="C20" s="2"/>
      <x:c r="D20" s="2"/>
    </x:row>
    <x:row r="21" ht="34" customHeight="1">
      <x:c r="A21" s="2" t="str">
        <x:v>第三方资源合计 元/月</x:v>
      </x:c>
      <x:c r="B21" s="20" t="n">
        <x:f>IF(COUNT(B19:B20)=2,SUM(B19:B20),"待补参数")</x:f>
        <x:v>1668</x:v>
      </x:c>
      <x:c r="C21" s="2"/>
      <x:c r="D21" s="2"/>
    </x:row>
    <x:row r="22" ht="34" customHeight="1">
      <x:c r="A22" s="2"/>
      <x:c r="B22" s="20"/>
      <x:c r="C22" s="2"/>
      <x:c r="D22" s="2"/>
    </x:row>
    <x:row r="23" ht="48" customHeight="1">
      <x:c r="A23" s="2" t="str">
        <x:v>建设及试点第三方资源</x:v>
      </x:c>
      <x:c r="B23" s="20" t="n">
        <x:f>IF(COUNT(B5,B21)=2,IF(B5&lt;0,"待核输入",ROUND(B5*B21,2)),"待补参数")</x:f>
        <x:v>6672</x:v>
      </x:c>
      <x:c r="C23" s="2"/>
      <x:c r="D23" s="10" t="str">
        <x:v>客户按云和模型厂商账单直付，费用不包含在建设服务费或付款分期内。</x:v>
      </x:c>
    </x:row>
    <x:row r="24" ht="34" customHeight="1">
      <x:c r="A24" s="2" t="str">
        <x:v>验收后运行第三方资源</x:v>
      </x:c>
      <x:c r="B24" s="20" t="n">
        <x:f>IF(COUNT(B6,B21)=2,IF(B6&lt;0,"待核输入",ROUND(B6*B21,2)),"待补参数")</x:f>
        <x:v>20016</x:v>
      </x:c>
      <x:c r="C24" s="2"/>
      <x:c r="D24" s="2"/>
    </x:row>
    <x:row r="25" ht="48" customHeight="1">
      <x:c r="A25" s="14" t="str">
        <x:v>两段第三方资源合计</x:v>
      </x:c>
      <x:c r="B25" s="26" t="n">
        <x:f>IF(COUNT(B23:B24)=2,SUM(B23:B24),"待补参数")</x:f>
        <x:v>26688</x:v>
      </x:c>
      <x:c r="C25" s="2"/>
      <x:c r="D25" s="10" t="str">
        <x:v>未计额外OCR、搜索工具、短信、商业许可证、专业安全测评、异地差旅及驻场。</x:v>
      </x:c>
    </x:row>
    <x:row r="26" ht="28" customHeight="1">
      <x:c r="A26" s="2"/>
      <x:c r="B26" s="20"/>
      <x:c r="C26" s="2"/>
      <x:c r="D26" s="2"/>
    </x:row>
    <x:row r="27" ht="28" customHeight="1">
      <x:c r="A27" s="2"/>
      <x:c r="B27" s="20"/>
      <x:c r="C27" s="2"/>
      <x:c r="D27" s="2"/>
    </x:row>
    <x:row r="28" ht="34" customHeight="1">
      <x:c r="A28" s="9" t="str">
        <x:v>验收后第13至24个月</x:v>
      </x:c>
      <x:c r="B28" s="21" t="str">
        <x:v>可选维保估算</x:v>
      </x:c>
      <x:c r="C28" s="2"/>
      <x:c r="D28" s="2"/>
    </x:row>
    <x:row r="29" ht="48" customHeight="1">
      <x:c r="A29" s="2" t="str">
        <x:v>年度运维支持 人日</x:v>
      </x:c>
      <x:c r="B29" s="19" t="n">
        <x:v>12</x:v>
      </x:c>
      <x:c r="C29" s="2"/>
      <x:c r="D29" s="10" t="str">
        <x:v>验收后12个月缺陷修复已含建设费；此处是之后一年的可选日常维护，不重复加收免费保障期费用。</x:v>
      </x:c>
    </x:row>
    <x:row r="30" ht="28" customHeight="1">
      <x:c r="A30" s="2" t="str">
        <x:v>人日服务单价 元</x:v>
      </x:c>
      <x:c r="B30" s="20" t="n">
        <x:f>'建设明细'!F5</x:f>
        <x:v>1500</x:v>
      </x:c>
      <x:c r="C30" s="2"/>
      <x:c r="D30" s="2"/>
    </x:row>
    <x:row r="31" ht="48" customHeight="1">
      <x:c r="A31" s="2" t="str">
        <x:v>年度运维参考服务费</x:v>
      </x:c>
      <x:c r="B31" s="20" t="n">
        <x:f>IF(COUNT(B29:B30)=2,IF(MIN(B29:B30)&lt;0,"待核输入",ROUND(B29*B30,2)),"待补参数")</x:f>
        <x:v>18000</x:v>
      </x:c>
      <x:c r="C31" s="2"/>
      <x:c r="D31" s="10" t="str">
        <x:v>预算12人日/年；远程健康检查、备份核验和问题处理；不含新功能和7×24值守。</x:v>
      </x:c>
    </x:row>
    <x:row r="32" ht="28" customHeight="1">
      <x:c r="A32" s="2" t="str">
        <x:v>同期12个月第三方资源</x:v>
      </x:c>
      <x:c r="B32" s="20" t="n">
        <x:f>IF(ISNUMBER(B21),B21*12,"待补参数")</x:f>
        <x:v>20016</x:v>
      </x:c>
      <x:c r="C32" s="2"/>
      <x:c r="D32" s="2"/>
    </x:row>
    <x:row r="33" ht="28" customHeight="1">
      <x:c r="A33" s="2" t="str">
        <x:v>后续年度运行预算参考</x:v>
      </x:c>
      <x:c r="B33" s="20" t="n">
        <x:f>IF(COUNT(B31:B32)=2,SUM(B31:B32),"待补参数")</x:f>
        <x:v>38016</x:v>
      </x:c>
      <x:c r="C33" s="2"/>
      <x:c r="D33" s="2"/>
    </x:row>
    <x:row r="34" ht="28" customHeight="1">
      <x:c r="A34" s="2"/>
      <x:c r="B34" s="2"/>
      <x:c r="C34" s="2"/>
      <x:c r="D34" s="2"/>
    </x:row>
    <x:row r="35" ht="28" customHeight="1">
      <x:c r="A35" s="2"/>
      <x:c r="B35" s="2"/>
      <x:c r="C35" s="2"/>
      <x:c r="D35" s="2"/>
    </x:row>
    <x:row r="36" ht="28" customHeight="1">
      <x:c r="A36" s="27" t="str">
        <x:v>价格和来源 2026年10月24日核查</x:v>
      </x:c>
      <x:c r="B36" s="2"/>
      <x:c r="C36" s="2"/>
      <x:c r="D36" s="2"/>
    </x:row>
    <x:row r="37" ht="28" customHeight="1">
      <x:c r="A37" s="2"/>
      <x:c r="B37" s="2"/>
      <x:c r="C37" s="2"/>
      <x:c r="D37" s="2"/>
    </x:row>
    <x:row r="38" ht="48" customHeight="1">
      <x:c r="A38" s="2" t="str">
        <x:v>P1 豆包1.8官方模型说明</x:v>
      </x:c>
      <x:c r="B38" s="2"/>
      <x:c r="C38" s="2"/>
      <x:c r="D38" s="10" t="str">
        <x:v>https://docs.volcengine.com/docs/ark/bytedance-seed-1-8?lang=zh</x:v>
      </x:c>
    </x:row>
    <x:row r="39" ht="70" customHeight="1">
      <x:c r="A39" s="2"/>
      <x:c r="B39" s="2"/>
      <x:c r="C39" s="2"/>
      <x:c r="D39" s="10" t="str">
        <x:v>2026-10-24核查。在线请求输入不超过32千token且输出超过0.2千token时，输入0.8元、输出8元/百万token。只作调用费用演示，不构成选型或锁价；跨档、重试、思考与工具往返按实际账单。</x:v>
      </x:c>
    </x:row>
    <x:row r="40" ht="28" customHeight="1">
      <x:c r="A40" s="2"/>
      <x:c r="B40" s="2"/>
      <x:c r="C40" s="2"/>
      <x:c r="D40" s="2"/>
    </x:row>
    <x:row r="41" ht="28" customHeight="1">
      <x:c r="A41" s="2"/>
      <x:c r="B41" s="2"/>
      <x:c r="C41" s="2"/>
      <x:c r="D41" s="2"/>
    </x:row>
    <x:row r="42" ht="70" customHeight="1">
      <x:c r="A42" s="2" t="str">
        <x:v>E1 预算假设</x:v>
      </x:c>
      <x:c r="B42" s="2"/>
      <x:c r="C42" s="2"/>
      <x:c r="D42" s="10" t="str">
        <x:v>1500元/人日、150人日、约16周、云及备份月费、调用量和运维12人日均为可改估算，非厂商实盘、官方指导价或行业平均值；不从虚构访谈基线外推。</x:v>
      </x:c>
    </x:row>
    <x:row r="43" ht="28" customHeight="1">
      <x:c r="A43" s="2"/>
      <x:c r="B43" s="2"/>
      <x:c r="C43" s="2"/>
      <x:c r="D43" s="2"/>
    </x:row>
    <x:row r="44" ht="28" customHeight="1">
      <x:c r="A44" s="2"/>
      <x:c r="B44" s="2"/>
      <x:c r="C44" s="2"/>
      <x:c r="D44" s="2"/>
    </x:row>
    <x:row r="45" ht="70" customHeight="1">
      <x:c r="A45" s="2" t="str">
        <x:v>税费口径</x:v>
      </x:c>
      <x:c r="B45" s="2"/>
      <x:c r="C45" s="2"/>
      <x:c r="D45" s="10" t="str">
        <x:v>全部金额用于立项预算，供应商主体、发票类型及含税条件待财务确认，不默认套用增值税率。未在本表额外加税，不代表免税；正式签约前应统一为双方确认的含税总价。</x:v>
      </x:c>
    </x:row>
    <x:row r="46" ht="28" customHeight="1">
      <x:c r="A46" s="2"/>
      <x:c r="B46" s="2"/>
      <x:c r="C46" s="2"/>
      <x:c r="D46" s="2"/>
    </x:row>
    <x:row r="47" ht="28" customHeight="1">
      <x:c r="A47" s="2"/>
      <x:c r="B47" s="2"/>
      <x:c r="C47" s="2"/>
      <x:c r="D47" s="2"/>
    </x:row>
    <x:row r="48" ht="28" customHeight="1">
      <x:c r="A48" s="2"/>
      <x:c r="B48" s="2"/>
      <x:c r="C48" s="2"/>
      <x:c r="D48" s="2"/>
    </x:row>
    <x:row r="49" ht="28" customHeight="1">
      <x:c r="A49" s="2"/>
      <x:c r="B49" s="2"/>
      <x:c r="C49" s="2"/>
      <x:c r="D49" s="2"/>
    </x:row>
    <x:row r="50" ht="28" customHeight="1">
      <x:c r="A50" s="2"/>
      <x:c r="B50" s="2"/>
      <x:c r="C50" s="2"/>
      <x:c r="D50" s="2"/>
    </x:row>
    <x:row r="51" ht="28" customHeight="1">
      <x:c r="A51" s="2"/>
      <x:c r="B51" s="2"/>
      <x:c r="C51" s="2"/>
      <x:c r="D51" s="2"/>
    </x:row>
    <x:row r="52" ht="28" customHeight="1">
      <x:c r="A52" s="2"/>
      <x:c r="B52" s="2"/>
      <x:c r="C52" s="2"/>
      <x:c r="D52" s="2"/>
    </x:row>
    <x:row r="53" ht="28" customHeight="1">
      <x:c r="A53" s="2"/>
      <x:c r="B53" s="2"/>
      <x:c r="C53" s="2"/>
      <x:c r="D53" s="2"/>
    </x:row>
  </x:sheetData>
  <x:conditionalFormatting sqref="B17:B33">
    <x:cfRule type="containsText" dxfId="1" priority="1" operator="containsText" text="待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3799991607666" hidden="0" customWidth="1"/>
    <x:col min="2" max="2" width="135" hidden="0" customWidth="1"/>
  </x:cols>
  <x:sheetData>
    <x:row r="1" ht="28" customHeight="1">
      <x:c r="A1" s="2"/>
      <x:c r="B1" s="2"/>
    </x:row>
    <x:row r="2" ht="38" customHeight="1">
      <x:c r="A2" s="3" t="str">
        <x:v>建设范围 验收与商务条款</x:v>
      </x:c>
      <x:c r="B2" s="2"/>
    </x:row>
    <x:row r="3" ht="28" customHeight="1">
      <x:c r="A3" s="2"/>
      <x:c r="B3" s="2"/>
    </x:row>
    <x:row r="4" ht="34" customHeight="1">
      <x:c r="A4" s="9" t="str">
        <x:v>一期报价边界</x:v>
      </x:c>
      <x:c r="B4" s="9" t="str">
        <x:v>拟定范围与假设</x:v>
      </x:c>
    </x:row>
    <x:row r="5" ht="60" customHeight="1">
      <x:c r="A5" s="2" t="str">
        <x:v>系统形态</x:v>
      </x:c>
      <x:c r="B5" s="10" t="str">
        <x:v>单一组织的中文Web软件；独立内部工作台，尚未开发</x:v>
      </x:c>
    </x:row>
    <x:row r="6" ht="60" customHeight="1">
      <x:c r="A6" s="11" t="str">
        <x:v>规模假设</x:v>
      </x:c>
      <x:c r="B6" s="12" t="str">
        <x:v>1个场馆、不超过20个区域或共享资源、30个账号、10名同时在线用户；均为报价边界假设，需复核</x:v>
      </x:c>
    </x:row>
    <x:row r="7" ht="60" customHeight="1">
      <x:c r="A7" s="2" t="str">
        <x:v>资料接入</x:v>
      </x:c>
      <x:c r="B7" s="10" t="str">
        <x:v>不超过3种CSV或XLSX导入模板，单文件不超过20MB或10000行；文本由用户粘贴或导出文件导入</x:v>
      </x:c>
    </x:row>
    <x:row r="8" ht="60" customHeight="1">
      <x:c r="A8" s="11" t="str">
        <x:v>AI范围</x:v>
      </x:c>
      <x:c r="B8" s="12" t="str">
        <x:v>1家已授权模型服务商，辅助字段提取、差异说明、来源引用和交接摘要；不含模型训练和扫描件OCR</x:v>
      </x:c>
    </x:row>
    <x:row r="9" ht="60" customHeight="1">
      <x:c r="A9" s="2" t="str">
        <x:v>业务闭环</x:v>
      </x:c>
      <x:c r="B9" s="10" t="str">
        <x:v>资源及档期草稿、冲突提示、变更申请、人工复核、版本留痕和确认记录；本软件内部保存确认结果</x:v>
      </x:c>
    </x:row>
    <x:row r="10" ht="60" customHeight="1">
      <x:c r="A10" s="11" t="str">
        <x:v>外部边界</x:v>
      </x:c>
      <x:c r="B10" s="12" t="str">
        <x:v>只读接入既有系统导出资料；不写回外部占档或合同系统，不自动锁档、签约、发消息或向客户承诺</x:v>
      </x:c>
    </x:row>
    <x:row r="11" ht="60" customHeight="1">
      <x:c r="A11" s="2" t="str">
        <x:v>部署范围</x:v>
      </x:c>
      <x:c r="B11" s="10" t="str">
        <x:v>1套验收环境及1套小规模正式运行环境的部署配置；客户提供云账号、域名及网络条件</x:v>
      </x:c>
    </x:row>
    <x:row r="12" ht="60" customHeight="1">
      <x:c r="A12" s="11" t="str">
        <x:v>预计周期</x:v>
      </x:c>
      <x:c r="B12" s="12" t="str">
        <x:v>约16周，含需求设计、研发测试及约4周受控试运行；从范围、样本、权限及环境具备后排期</x:v>
      </x:c>
    </x:row>
    <x:row r="13" ht="60" customHeight="1">
      <x:c r="A13" s="2" t="str">
        <x:v>质量及保障</x:v>
      </x:c>
      <x:c r="B13" s="10" t="str">
        <x:v>验收后12个月约定范围内缺陷修复；新增功能、现场驻场、7×24运维及第三方专业测评不含</x:v>
      </x:c>
    </x:row>
    <x:row r="14" ht="60" customHeight="1">
      <x:c r="A14" s="11" t="str">
        <x:v>既有调研</x:v>
      </x:c>
      <x:c r="B14" s="12" t="str">
        <x:v>已交付调研、访谈演练、流程图与旧报价仅作输入，不作为本轮重新计费项目；S01只计新增真实需求复核</x:v>
      </x:c>
    </x:row>
    <x:row r="15" ht="28" customHeight="1">
      <x:c r="A15" s="2"/>
      <x:c r="B15" s="2"/>
    </x:row>
    <x:row r="16" ht="28" customHeight="1">
      <x:c r="A16" s="2"/>
      <x:c r="B16" s="2"/>
    </x:row>
    <x:row r="17" ht="34" customHeight="1">
      <x:c r="A17" s="9" t="str">
        <x:v>验收主题</x:v>
      </x:c>
      <x:c r="B17" s="9" t="str">
        <x:v>建议确认口径</x:v>
      </x:c>
    </x:row>
    <x:row r="18" ht="64" customHeight="1">
      <x:c r="A18" s="2" t="str">
        <x:v>需求基线</x:v>
      </x:c>
      <x:c r="B18" s="10" t="str">
        <x:v>需求、流程、字段、角色、规则、数据范围及30条回放样本由双方签认。访谈演练不替代真实确认。</x:v>
      </x:c>
    </x:row>
    <x:row r="19" ht="64" customHeight="1">
      <x:c r="A19" s="2" t="str">
        <x:v>功能及规则</x:v>
      </x:c>
      <x:c r="B19" s="10" t="str">
        <x:v>导入、来源、排期、变更、审批与审计按签认用例执行；有限回放样本符合预期不等于生产环境无漏报。</x:v>
      </x:c>
    </x:row>
    <x:row r="20" ht="64" customHeight="1">
      <x:c r="A20" s="2" t="str">
        <x:v>AI效果</x:v>
      </x:c>
      <x:c r="B20" s="10" t="str">
        <x:v>验证字段候选、原文引用和不确定项入人工队列；准确率、误报漏报阈值及标注方法在需求阶段书面确认，当前不作无条件准确率承诺。</x:v>
      </x:c>
    </x:row>
    <x:row r="21" ht="64" customHeight="1">
      <x:c r="A21" s="2" t="str">
        <x:v>交付及缺陷</x:v>
      </x:c>
      <x:c r="B21" s="10" t="str">
        <x:v>约定源码、文档、测试记录和培训齐备；关键流程阻断缺陷关闭，一般问题形成双方认可的处理计划后验收。</x:v>
      </x:c>
    </x:row>
    <x:row r="22" ht="28" customHeight="1">
      <x:c r="A22" s="2"/>
      <x:c r="B22" s="2"/>
    </x:row>
    <x:row r="23" ht="28" customHeight="1">
      <x:c r="A23" s="2"/>
      <x:c r="B23" s="2"/>
    </x:row>
    <x:row r="24" ht="34" customHeight="1">
      <x:c r="A24" s="9" t="str">
        <x:v>商务事项</x:v>
      </x:c>
      <x:c r="B24" s="9" t="str">
        <x:v>待双方确认的建议条款</x:v>
      </x:c>
    </x:row>
    <x:row r="25" ht="100" customHeight="1">
      <x:c r="A25" s="2" t="str">
        <x:v>付款与税费</x:v>
      </x:c>
      <x:c r="B25" s="10" t="str">
        <x:v>建设款建议30% / 40% / 20% / 10%，仅按已签认里程碑支付；第三方账单直付。全部金额用于立项预算，供应商主体、发票类型及含税条件待财务确认，不默认套用增值税率。未在本表额外加税，不代表免税；正式签约前应统一为双方确认的含税总价。</x:v>
      </x:c>
    </x:row>
    <x:row r="26" ht="72" customHeight="1">
      <x:c r="A26" s="2" t="str">
        <x:v>需求变更</x:v>
      </x:c>
      <x:c r="B26" s="10" t="str">
        <x:v>先记录原版本、变更内容、增加或减少工作量、费用和时间影响，双方授权人批准后执行。变更不自动取得外部系统写入权限。</x:v>
      </x:c>
    </x:row>
    <x:row r="27" ht="72" customHeight="1">
      <x:c r="A27" s="2" t="str">
        <x:v>保障与维护</x:v>
      </x:c>
      <x:c r="B27" s="10" t="str">
        <x:v>验收后12个月修复已约定功能缺陷；新功能、客户环境变化、第三方停服及现场驻场另行约定。后续运维按单独协议选购。</x:v>
      </x:c>
    </x:row>
    <x:row r="28" ht="72" customHeight="1">
      <x:c r="A28" s="2" t="str">
        <x:v>源码及第三方权利</x:v>
      </x:c>
      <x:c r="B28" s="10" t="str">
        <x:v>约定范围源码、数据字典、部署及操作文档、测试与依赖清单作为拟交付项；定制成果权属和第三方许可由正式合同确定，不据旧MIT文件推定软件开源。</x:v>
      </x:c>
    </x:row>
    <x:row r="29" ht="72" customHeight="1">
      <x:c r="A29" s="2" t="str">
        <x:v>客户配合与隐私</x:v>
      </x:c>
      <x:c r="B29" s="10" t="str">
        <x:v>客户提供合法授权的脱敏样本、规则标注人、账号和环境，及时评审；真实个人及商业资料不进公开仓库。数据留存和删除期限另行签认。</x:v>
      </x:c>
    </x:row>
    <x:row r="30" ht="72" customHeight="1">
      <x:c r="A30" s="2" t="str">
        <x:v>有效期及签字</x:v>
      </x:c>
      <x:c r="B30" s="10" t="str">
        <x:v>报价有效期、供应商主体、客户授权人、开票条件和签约日期均待填写；本文件是立项参考，不构成已签约或已研发事实。</x:v>
      </x:c>
    </x:row>
    <x:row r="31" ht="28" customHeight="1">
      <x:c r="A31" s="2"/>
      <x:c r="B31" s="2"/>
    </x:row>
    <x:row r="32" ht="28" customHeight="1">
      <x:c r="A32" s="2"/>
      <x:c r="B32" s="2"/>
    </x:row>
    <x:row r="33" ht="60" customHeight="1">
      <x:c r="A33" s="2" t="str">
        <x:v>L1 需求调查来源</x:v>
      </x:c>
      <x:c r="B33" s="10" t="str">
        <x:v>docs/source/discovery-report.md；fNN表示dlg-venue-schedule-fNN。原始访谈为合成演练，不能作为真实单量、工时或收益的测量数据。</x:v>
      </x:c>
    </x:row>
    <x:row r="34" ht="28" customHeight="1">
      <x:c r="A34" s="2"/>
      <x:c r="B34" s="2"/>
    </x:row>
    <x:row r="35" ht="28" customHeight="1">
      <x:c r="A35" s="2"/>
      <x:c r="B35" s="2"/>
    </x:row>
    <x:row r="36" ht="28" customHeight="1">
      <x:c r="A36" s="2" t="str">
        <x:v>客户确认</x:v>
      </x:c>
      <x:c r="B36" s="5"/>
    </x:row>
    <x:row r="37" ht="28" customHeight="1">
      <x:c r="A37" s="2"/>
      <x:c r="B37" s="2"/>
    </x:row>
    <x:row r="38" ht="28" customHeight="1">
      <x:c r="A38" s="2" t="str">
        <x:v>报价方确认</x:v>
      </x:c>
      <x:c r="B38" s="5"/>
    </x:row>
    <x:row r="39" ht="28" customHeight="1">
      <x:c r="A39" s="2"/>
      <x:c r="B39" s="2"/>
    </x:row>
    <x:row r="40" ht="28" customHeight="1">
      <x:c r="A40" s="2"/>
      <x:c r="B40" s="2"/>
    </x:row>
    <x:row r="41" ht="28" customHeight="1">
      <x:c r="A41" s="2"/>
      <x:c r="B41" s="2"/>
    </x:row>
    <x:row r="42" ht="28" customHeight="1">
      <x:c r="A42" s="2"/>
      <x:c r="B42" s="2"/>
    </x:row>
    <x:row r="43" ht="28" customHeight="1">
      <x:c r="A43" s="2"/>
      <x:c r="B43" s="2"/>
    </x:row>
    <x:row r="44" ht="28" customHeight="1">
      <x:c r="A44" s="2"/>
      <x:c r="B44" s="2"/>
    </x:row>
    <x:row r="45" ht="28" customHeight="1">
      <x:c r="A45" s="2"/>
      <x:c r="B45" s="2"/>
    </x:row>
  </x:sheetData>
  <x:pageMargins left="0.7" right="0.7" top="0.75" bottom="0.75" header="0.3" footer="0.3"/>
</x:worksheet>
</file>