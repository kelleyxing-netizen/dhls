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4f75b09b1b4a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总览" sheetId="1" r:id="R37fbca35db294f2e"/>
    <x:sheet xmlns:r="http://schemas.openxmlformats.org/officeDocument/2006/relationships" name="费用明细" sheetId="2" r:id="R021b1e4c11e84b60"/>
    <x:sheet xmlns:r="http://schemas.openxmlformats.org/officeDocument/2006/relationships" name="变更与结算" sheetId="3" r:id="R8d74532c67f140c2"/>
    <x:sheet xmlns:r="http://schemas.openxmlformats.org/officeDocument/2006/relationships" name="参数与依据" sheetId="4" r:id="Ra46a9a77867e4e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#,##0.00;[Red](#,##0.00);0.00"/>
    <x:numFmt numFmtId="202" formatCode="#,##0.00"/>
    <x:numFmt numFmtId="203" formatCode="0"/>
  </x:numFmts>
  <x:fonts count="8">
    <x:font>
      <x:sz val="11"/>
      <x:name val="Carlito"/>
    </x:font>
    <x:font>
      <x:sz val="11"/>
      <x:color rgb="FF243B50"/>
      <x:name val="Microsoft YaHei"/>
    </x:font>
    <x:font>
      <x:b/>
      <x:sz val="16"/>
      <x:color rgb="FF243B50"/>
      <x:name val="Microsoft YaHei"/>
    </x:font>
    <x:font>
      <x:b/>
      <x:sz val="11"/>
      <x:color rgb="FFFFFFFF"/>
      <x:name val="Microsoft YaHei"/>
    </x:font>
    <x:font>
      <x:sz val="11"/>
      <x:color rgb="FF9B5300"/>
      <x:name val="Microsoft YaHei"/>
    </x:font>
    <x:font>
      <x:b/>
      <x:sz val="13"/>
      <x:color rgb="FF243B50"/>
      <x:name val="Microsoft YaHei"/>
    </x:font>
    <x:font>
      <x:b/>
      <x:sz val="11"/>
      <x:color rgb="FF243B50"/>
      <x:name val="Microsoft YaHei"/>
    </x:font>
    <x:font>
      <x:b/>
      <x:sz val="11"/>
      <x:color rgb="FFA4491A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234A68"/>
      </x:patternFill>
    </x:fill>
    <x:fill>
      <x:patternFill patternType="solid">
        <x:fgColor rgb="FFFFF1CE"/>
      </x:patternFill>
    </x:fill>
    <x:fill>
      <x:patternFill patternType="solid">
        <x:fgColor rgb="FFEDF3F8"/>
      </x:patternFill>
    </x:fill>
    <x:fill>
      <x:patternFill patternType="solid">
        <x:fgColor rgb="FFF5F8FB"/>
      </x:patternFill>
    </x:fill>
    <x:fill>
      <x:patternFill patternType="solid">
        <x:fgColor rgb="FFFFFF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200" fontId="4" fillId="3" borderId="0" xfId="0" applyNumberFormat="1" applyFont="1" applyFill="1" applyBorder="1" applyAlignment="1">
      <x:alignment vertical="center" wrapText="1"/>
    </x:xf>
    <x:xf numFmtId="201" fontId="4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202" fontId="4" fillId="3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A4491A"/>
      </x:font>
      <x:fill>
        <x:patternFill patternType="solid">
          <x:bgColor rgb="FFFFF0E6"/>
        </x:patternFill>
      </x:fill>
    </x:dxf>
    <x:dxf>
      <x:font>
        <x:b/>
        <x:color rgb="FFA4491A"/>
      </x:font>
      <x:fill>
        <x:patternFill patternType="solid">
          <x:bgColor rgb="FFFFF0E6"/>
        </x:patternFill>
      </x:fill>
    </x:dxf>
    <x:dxf>
      <x:font>
        <x:b/>
        <x:color rgb="FFA4491A"/>
      </x:font>
      <x:fill>
        <x:patternFill patternType="solid">
          <x:bgColor rgb="FFFFF0E6"/>
        </x:patternFill>
      </x:fill>
    </x:dxf>
    <x:dxf>
      <x:font>
        <x:b/>
        <x:color rgb="FFA4491A"/>
      </x:font>
      <x:fill>
        <x:patternFill patternType="solid">
          <x:bgColor rgb="FFFFF0E6"/>
        </x:patternFill>
      </x:fill>
    </x:dxf>
    <x:dxf>
      <x:font>
        <x:b/>
        <x:color rgb="FFA4491A"/>
      </x:font>
      <x:fill>
        <x:patternFill patternType="solid">
          <x:bgColor rgb="FFFFF0E6"/>
        </x:patternFill>
      </x:fill>
    </x:dxf>
    <x:dxf>
      <x:font>
        <x:b/>
        <x:color rgb="FFA4491A"/>
      </x:font>
      <x:fill>
        <x:patternFill patternType="solid">
          <x:bgColor rgb="FFFFF0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8b3eb25cc646af" /><Relationship Type="http://schemas.openxmlformats.org/officeDocument/2006/relationships/theme" Target="/xl/theme/theme1.xml" Id="Rb920ceb7c45a44a2" /><Relationship Type="http://schemas.openxmlformats.org/officeDocument/2006/relationships/sharedStrings" Target="/xl/sharedStrings.xml" Id="R733f4ccf126a4e16" /><Relationship Type="http://schemas.openxmlformats.org/officeDocument/2006/relationships/worksheet" Target="/xl/worksheets/sheet1.xml" Id="R37fbca35db294f2e" /><Relationship Type="http://schemas.openxmlformats.org/officeDocument/2006/relationships/worksheet" Target="/xl/worksheets/sheet2.xml" Id="R021b1e4c11e84b60" /><Relationship Type="http://schemas.openxmlformats.org/officeDocument/2006/relationships/worksheet" Target="/xl/worksheets/sheet3.xml" Id="R8d74532c67f140c2" /><Relationship Type="http://schemas.openxmlformats.org/officeDocument/2006/relationships/worksheet" Target="/xl/worksheets/sheet4.xml" Id="Ra46a9a77867e4e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4A68"/>
  </x:sheetPr>
  <x:sheetViews>
    <x:sheetView showGridLines="0" workbookViewId="0"/>
  </x:sheetViews>
  <x:sheetFormatPr defaultRowHeight="15"/>
  <x:cols>
    <x:col min="1" max="1" width="32.5" hidden="0" customWidth="1"/>
    <x:col min="2" max="2" width="27.5" hidden="0" customWidth="1"/>
    <x:col min="3" max="3" width="3.5" hidden="0" customWidth="1"/>
    <x:col min="4" max="4" width="37.5" hidden="0" customWidth="1"/>
    <x:col min="5" max="5" width="44.380001068115234" hidden="0" customWidth="1"/>
  </x:cols>
  <x:sheetData>
    <x:row r="1" ht="26" customHeight="1">
      <x:c r="A1" s="2"/>
      <x:c r="B1" s="2"/>
      <x:c r="C1" s="2"/>
      <x:c r="D1" s="2"/>
      <x:c r="E1" s="2"/>
    </x:row>
    <x:row r="2" ht="36" customHeight="1">
      <x:c r="A2" s="3" t="str">
        <x:v>上海展会客户全流程报价单</x:v>
      </x:c>
      <x:c r="B2" s="2"/>
      <x:c r="C2" s="2"/>
      <x:c r="D2" s="2"/>
      <x:c r="E2" s="2"/>
    </x:row>
    <x:row r="3" ht="26" customHeight="1">
      <x:c r="A3" s="2" t="str">
        <x:v>SH-EXPO-20261023-001  |  2026-10-23</x:v>
      </x:c>
      <x:c r="B3" s="2"/>
      <x:c r="C3" s="2"/>
      <x:c r="D3" s="29" t="str">
        <x:v>预算示例 待审核后对外发送</x:v>
      </x:c>
      <x:c r="E3" s="2"/>
    </x:row>
    <x:row r="4" ht="26" customHeight="1">
      <x:c r="A4" s="2"/>
      <x:c r="B4" s="2"/>
      <x:c r="C4" s="2"/>
      <x:c r="D4" s="2"/>
      <x:c r="E4" s="2"/>
    </x:row>
    <x:row r="5" ht="26" customHeight="1">
      <x:c r="A5" s="2"/>
      <x:c r="B5" s="2"/>
      <x:c r="C5" s="2"/>
      <x:c r="D5" s="2" t="str">
        <x:v>客户单位</x:v>
      </x:c>
      <x:c r="E5" s="9" t="str">
        <x:v>待填写</x:v>
      </x:c>
    </x:row>
    <x:row r="6" ht="36" customHeight="1">
      <x:c r="A6" s="2" t="str">
        <x:v>本方收款预算 元</x:v>
      </x:c>
      <x:c r="B6" s="22" t="n">
        <x:f>'费用明细'!I45</x:f>
        <x:v>34252</x:v>
      </x:c>
      <x:c r="C6" s="2"/>
      <x:c r="D6" s="2" t="str">
        <x:v>报价单位</x:v>
      </x:c>
      <x:c r="E6" s="9" t="str">
        <x:v>待填写</x:v>
      </x:c>
    </x:row>
    <x:row r="7" ht="36" customHeight="1">
      <x:c r="A7" s="2" t="str">
        <x:v>客户直付预算 元</x:v>
      </x:c>
      <x:c r="B7" s="22" t="n">
        <x:f>'费用明细'!I46</x:f>
        <x:v>59938</x:v>
      </x:c>
      <x:c r="C7" s="2"/>
      <x:c r="D7" s="2" t="str">
        <x:v>展会及展位号</x:v>
      </x:c>
      <x:c r="E7" s="33" t="str">
        <x:f>'参数与依据'!B6</x:f>
        <x:v>待确认</x:v>
      </x:c>
    </x:row>
    <x:row r="8" ht="36" customHeight="1">
      <x:c r="A8" s="30" t="str">
        <x:v>已选全流程预算 元</x:v>
      </x:c>
      <x:c r="B8" s="31" t="n">
        <x:f>'费用明细'!I49</x:f>
        <x:v>94190</x:v>
      </x:c>
      <x:c r="C8" s="2"/>
      <x:c r="D8" s="2" t="str">
        <x:v>场馆及具体档期</x:v>
      </x:c>
      <x:c r="E8" s="9" t="str">
        <x:v>待确认</x:v>
      </x:c>
    </x:row>
    <x:row r="9" ht="36" customHeight="1">
      <x:c r="A9" s="2" t="str">
        <x:v>可退押金参考 元</x:v>
      </x:c>
      <x:c r="B9" s="22" t="n">
        <x:f>'参数与依据'!B18</x:f>
        <x:v>10000</x:v>
      </x:c>
      <x:c r="C9" s="2"/>
      <x:c r="D9" s="2" t="str">
        <x:v>税费及开票条件</x:v>
      </x:c>
      <x:c r="E9" s="33" t="str">
        <x:f>'参数与依据'!B14</x:f>
        <x:v>未核实 定稿前逐项确认</x:v>
      </x:c>
    </x:row>
    <x:row r="10" ht="36" customHeight="1">
      <x:c r="A10" s="2" t="str">
        <x:v>安排资金参考 元</x:v>
      </x:c>
      <x:c r="B10" s="22" t="n">
        <x:f>IF(AND(ISNUMBER(B8),ISNUMBER(B9)),SUM(B8:B9),"待补询价")</x:f>
        <x:v>104190</x:v>
      </x:c>
      <x:c r="C10" s="2"/>
      <x:c r="D10" s="2"/>
      <x:c r="E10" s="2"/>
    </x:row>
    <x:row r="11" ht="26" customHeight="1">
      <x:c r="A11" s="2"/>
      <x:c r="B11" s="2"/>
      <x:c r="C11" s="2"/>
      <x:c r="D11" s="2"/>
      <x:c r="E11" s="2"/>
    </x:row>
    <x:row r="12" ht="26" customHeight="1">
      <x:c r="A12" s="2" t="str">
        <x:f>"示例范围 "&amp;'参数与依据'!B5&amp;" "&amp;'参数与依据'!B7&amp;"㎡ "&amp;'参数与依据'!B11&amp;" 展览"&amp;'参数与依据'!B8&amp;"天 进场"&amp;'参数与依据'!B9&amp;"天 撤场"&amp;'参数与依据'!B10&amp;"天"</x:f>
        <x:v>示例范围 上海 36㎡ 单层模块化 光地自建 展览3天 进场1天 撤场1天</x:v>
      </x:c>
      <x:c r="B12" s="2"/>
      <x:c r="C12" s="2"/>
      <x:c r="D12" s="2" t="str">
        <x:v>更改面积和天数请到 参数与依据；更改本行文字不改变计算。</x:v>
      </x:c>
      <x:c r="E12" s="2"/>
    </x:row>
    <x:row r="13" ht="26" customHeight="1">
      <x:c r="A13" s="2"/>
      <x:c r="B13" s="2"/>
      <x:c r="C13" s="2"/>
      <x:c r="D13" s="2"/>
      <x:c r="E13" s="2"/>
    </x:row>
    <x:row r="14" ht="26" customHeight="1">
      <x:c r="A14" s="2"/>
      <x:c r="B14" s="2"/>
      <x:c r="C14" s="2"/>
      <x:c r="D14" s="2"/>
      <x:c r="E14" s="2"/>
    </x:row>
    <x:row r="15" ht="34" customHeight="1">
      <x:c r="A15" s="7" t="str">
        <x:v>本方服务款建议节点</x:v>
      </x:c>
      <x:c r="B15" s="7" t="str">
        <x:v>建议比例</x:v>
      </x:c>
      <x:c r="C15" s="7" t="str"/>
      <x:c r="D15" s="7" t="str">
        <x:v>计划金额 元</x:v>
      </x:c>
      <x:c r="E15" s="7" t="str">
        <x:v>付款触发条件</x:v>
      </x:c>
    </x:row>
    <x:row r="16" ht="38" customHeight="1">
      <x:c r="A16" s="2" t="str">
        <x:v>首期款</x:v>
      </x:c>
      <x:c r="B16" s="32" t="n">
        <x:f>'参数与依据'!B19</x:f>
        <x:v>0.4</x:v>
      </x:c>
      <x:c r="C16" s="2"/>
      <x:c r="D16" s="22" t="n">
        <x:f>IF(AND(ISNUMBER('变更与结算'!B18),COUNTBLANK('参数与依据'!B19:B21)=0,MIN(B16:B18)&gt;=0,MAX(B16:B18)&lt;=1,ROUND(SUM(B16:B18),6)=1),ROUND('变更与结算'!B18*B16,2),"待核比例或金额")</x:f>
        <x:v>13700.8</x:v>
      </x:c>
      <x:c r="E16" s="13" t="str">
        <x:v>签字确认报价及图纸后；比例为建议</x:v>
      </x:c>
    </x:row>
    <x:row r="17" ht="38" customHeight="1">
      <x:c r="A17" s="2" t="str">
        <x:v>进场前款</x:v>
      </x:c>
      <x:c r="B17" s="32" t="n">
        <x:f>'参数与依据'!B20</x:f>
        <x:v>0.5</x:v>
      </x:c>
      <x:c r="C17" s="2"/>
      <x:c r="D17" s="22" t="n">
        <x:f>IF(AND(ISNUMBER('变更与结算'!B18),COUNTBLANK('参数与依据'!B19:B21)=0,MIN(B16:B18)&gt;=0,MAX(B16:B18)&lt;=1,ROUND(SUM(B16:B18),6)=1),ROUND('变更与结算'!B18*B17,2),"待核比例或金额")</x:f>
        <x:v>17126</x:v>
      </x:c>
      <x:c r="E17" s="13" t="str">
        <x:v>进场前双方约定日期；先核验报馆条件</x:v>
      </x:c>
    </x:row>
    <x:row r="18" ht="38" customHeight="1">
      <x:c r="A18" s="2" t="str">
        <x:v>验收尾款</x:v>
      </x:c>
      <x:c r="B18" s="32" t="n">
        <x:f>'参数与依据'!B21</x:f>
        <x:v>0.1</x:v>
      </x:c>
      <x:c r="C18" s="2"/>
      <x:c r="D18" s="22" t="n">
        <x:f>IF(AND(ISNUMBER('变更与结算'!B18),COUNTBLANK('参数与依据'!B19:B21)=0,MIN(B16:B18)&gt;=0,MAX(B16:B18)&lt;=1,ROUND(SUM(B16:B18),6)=1),'变更与结算'!B18-SUM(D16:D17),"待核比例或金额")</x:f>
        <x:v>3425.2000000000007</x:v>
      </x:c>
      <x:c r="E18" s="13" t="str">
        <x:v>完成验收后；最终尾款按签字结算重算</x:v>
      </x:c>
    </x:row>
    <x:row r="19" ht="26" customHeight="1">
      <x:c r="A19" s="2"/>
      <x:c r="B19" s="2"/>
      <x:c r="C19" s="2"/>
      <x:c r="D19" s="2"/>
      <x:c r="E19" s="2"/>
    </x:row>
    <x:row r="20" ht="26" customHeight="1">
      <x:c r="A20" s="14" t="str">
        <x:v>流程交付与人工确认</x:v>
      </x:c>
      <x:c r="B20" s="2"/>
      <x:c r="C20" s="2"/>
      <x:c r="D20" s="2"/>
      <x:c r="E20" s="2"/>
    </x:row>
    <x:row r="21" ht="26" customHeight="1">
      <x:c r="A21" s="2"/>
      <x:c r="B21" s="2"/>
      <x:c r="C21" s="2"/>
      <x:c r="D21" s="2"/>
      <x:c r="E21" s="2"/>
    </x:row>
    <x:row r="22" ht="34" customHeight="1">
      <x:c r="A22" s="7" t="str">
        <x:v>节点</x:v>
      </x:c>
      <x:c r="B22" s="7" t="str">
        <x:v>主要交付</x:v>
      </x:c>
      <x:c r="C22" s="7" t="str"/>
      <x:c r="D22" s="7" t="str">
        <x:v>人工确认角色</x:v>
      </x:c>
      <x:c r="E22" s="7" t="str">
        <x:v>验收及依据</x:v>
      </x:c>
    </x:row>
    <x:row r="23" ht="80" customHeight="1">
      <x:c r="A23" s="13" t="str">
        <x:v>需求及场地确认</x:v>
      </x:c>
      <x:c r="B23" s="13" t="str">
        <x:v>确认展会、展位号、面积、进撤场时间、客户与报价主体</x:v>
      </x:c>
      <x:c r="C23" s="13"/>
      <x:c r="D23" s="13" t="str">
        <x:v>客户项目负责人及业务负责人</x:v>
      </x:c>
      <x:c r="E23" s="13" t="str">
        <x:v>需求清单与场地订单；未确认不代表已锁档</x:v>
      </x:c>
    </x:row>
    <x:row r="24" ht="80" customHeight="1">
      <x:c r="A24" s="13" t="str">
        <x:v>方案及价格冻结</x:v>
      </x:c>
      <x:c r="B24" s="13" t="str">
        <x:v>确认图纸、材料、数量、展期和收款主体，核验税费</x:v>
      </x:c>
      <x:c r="C24" s="13"/>
      <x:c r="D24" s="13" t="str">
        <x:v>客户授权人及报价方负责人</x:v>
      </x:c>
      <x:c r="E24" s="13" t="str">
        <x:v>签字版报价、图纸版本及发票口径</x:v>
      </x:c>
    </x:row>
    <x:row r="25" ht="80" customHeight="1">
      <x:c r="A25" s="13" t="str">
        <x:v>报馆及进场许可</x:v>
      </x:c>
      <x:c r="B25" s="13" t="str">
        <x:v>核验图纸、人员资质、保险、用电及装卸计划</x:v>
      </x:c>
      <x:c r="C25" s="13"/>
      <x:c r="D25" s="13" t="str">
        <x:v>主办场馆审核人员及施工负责人</x:v>
      </x:c>
      <x:c r="E25" s="13" t="str">
        <x:v>审批回执、进场许可及各项付款凭证</x:v>
      </x:c>
    </x:row>
    <x:row r="26" ht="80" customHeight="1">
      <x:c r="A26" s="13" t="str">
        <x:v>搭建交付</x:v>
      </x:c>
      <x:c r="B26" s="13" t="str">
        <x:v>检查数量、画面、结构、电气和设备，整改后复验</x:v>
      </x:c>
      <x:c r="C26" s="13"/>
      <x:c r="D26" s="13" t="str">
        <x:v>客户现场代表及施工负责人</x:v>
      </x:c>
      <x:c r="E26" s="13" t="str">
        <x:v>交付清单与问题关闭记录；安全验收由有权人员执行</x:v>
      </x:c>
    </x:row>
    <x:row r="27" ht="80" customHeight="1">
      <x:c r="A27" s="13" t="str">
        <x:v>展中及需求变更</x:v>
      </x:c>
      <x:c r="B27" s="13" t="str">
        <x:v>费用或排期改变先记录，双方审批后执行</x:v>
      </x:c>
      <x:c r="C27" s="13"/>
      <x:c r="D27" s="13" t="str">
        <x:v>客户授权人及报价方项目负责人</x:v>
      </x:c>
      <x:c r="E27" s="13" t="str">
        <x:v>变更号、旧新版本、差额、时间及确认依据</x:v>
      </x:c>
    </x:row>
    <x:row r="28" ht="80" customHeight="1">
      <x:c r="A28" s="13" t="str">
        <x:v>撤展及结算</x:v>
      </x:c>
      <x:c r="B28" s="13" t="str">
        <x:v>归还设备、清场验收、实际结算、押金退款跟踪</x:v>
      </x:c>
      <x:c r="C28" s="13"/>
      <x:c r="D28" s="13" t="str">
        <x:v>客户代表及报价方财务负责人</x:v>
      </x:c>
      <x:c r="E28" s="13" t="str">
        <x:v>回收单、结算单、押金收退凭据和发票</x:v>
      </x:c>
    </x:row>
    <x:row r="29" ht="26" customHeight="1">
      <x:c r="A29" s="2"/>
      <x:c r="B29" s="2"/>
      <x:c r="C29" s="2"/>
      <x:c r="D29" s="2"/>
      <x:c r="E29" s="2"/>
    </x:row>
    <x:row r="30" ht="26" customHeight="1">
      <x:c r="A30" s="2"/>
      <x:c r="B30" s="2"/>
      <x:c r="C30" s="2"/>
      <x:c r="D30" s="2"/>
      <x:c r="E30" s="2"/>
    </x:row>
    <x:row r="31" ht="26" customHeight="1">
      <x:c r="A31" s="2" t="str">
        <x:v>报价说明</x:v>
      </x:c>
      <x:c r="B31" s="2"/>
      <x:c r="C31" s="2"/>
      <x:c r="D31" s="2"/>
      <x:c r="E31" s="2"/>
    </x:row>
    <x:row r="32" ht="26" customHeight="1">
      <x:c r="A32" s="2"/>
      <x:c r="B32" s="2"/>
      <x:c r="C32" s="2"/>
      <x:c r="D32" s="2"/>
      <x:c r="E32" s="2"/>
    </x:row>
    <x:row r="33" ht="42" customHeight="1">
      <x:c r="A33" s="2" t="str">
        <x:v>正式询价前确认</x:v>
      </x:c>
      <x:c r="B33" s="13" t="str">
        <x:v>展会及场馆、面积及开口、展期、展品重量、设备功率、最终图纸。</x:v>
      </x:c>
      <x:c r="C33" s="2"/>
      <x:c r="D33" s="13" t="str">
        <x:v>建议价含公开方案锚点与内部估算；来源和适用条件在 参数与依据。</x:v>
      </x:c>
      <x:c r="E33" s="13"/>
    </x:row>
    <x:row r="34" ht="42" customHeight="1">
      <x:c r="A34" s="2"/>
      <x:c r="B34" s="13"/>
      <x:c r="C34" s="2"/>
      <x:c r="D34" s="13"/>
      <x:c r="E34" s="13"/>
    </x:row>
    <x:row r="35" ht="42" customHeight="1">
      <x:c r="A35" s="2" t="str">
        <x:v>价格与付款口径</x:v>
      </x:c>
      <x:c r="B35" s="13" t="str">
        <x:v>本方款、客户直付款分开；不选项目和可退押金不计入服务费用。</x:v>
      </x:c>
      <x:c r="C35" s="2"/>
      <x:c r="D35" s="13" t="str">
        <x:v>当前税费未核实，不能作为最终含税合同价；审批及签字必须由授权人员完成。</x:v>
      </x:c>
      <x:c r="E35" s="13"/>
    </x:row>
    <x:row r="36" ht="42" customHeight="1">
      <x:c r="A36" s="2"/>
      <x:c r="B36" s="13"/>
      <x:c r="C36" s="2"/>
      <x:c r="D36" s="13"/>
      <x:c r="E36" s="13"/>
    </x:row>
    <x:row r="37" ht="42" customHeight="1">
      <x:c r="A37" s="2" t="str">
        <x:v>有效期与变更</x:v>
      </x:c>
      <x:c r="B37" s="13" t="str">
        <x:v>有效期及取消条款待双方约定；范围变更先审批、再执行。</x:v>
      </x:c>
      <x:c r="C37" s="2"/>
      <x:c r="D37" s="13" t="str">
        <x:v>本文件不代表已锁档、报馆通过或已签约；Excel修改后Word需同步重制。</x:v>
      </x:c>
      <x:c r="E37" s="13"/>
    </x:row>
    <x:row r="38" ht="26" customHeight="1">
      <x:c r="A38" s="2"/>
      <x:c r="B38" s="2"/>
      <x:c r="C38" s="2"/>
      <x:c r="D38" s="2"/>
      <x:c r="E38" s="2"/>
    </x:row>
    <x:row r="39" ht="26" customHeight="1">
      <x:c r="A39" s="2"/>
      <x:c r="B39" s="2"/>
      <x:c r="C39" s="2"/>
      <x:c r="D39" s="2"/>
      <x:c r="E39" s="2"/>
    </x:row>
    <x:row r="40" ht="26" customHeight="1">
      <x:c r="A40" s="2"/>
      <x:c r="B40" s="2"/>
      <x:c r="C40" s="2"/>
      <x:c r="D40" s="2"/>
      <x:c r="E40" s="2"/>
    </x:row>
    <x:row r="41" ht="26" customHeight="1">
      <x:c r="A41" s="2"/>
      <x:c r="B41" s="2"/>
      <x:c r="C41" s="2"/>
      <x:c r="D41" s="2"/>
      <x:c r="E41" s="2"/>
    </x:row>
    <x:row r="42" ht="26" customHeight="1">
      <x:c r="A42" s="2"/>
      <x:c r="B42" s="2"/>
      <x:c r="C42" s="2"/>
      <x:c r="D42" s="2"/>
      <x:c r="E42" s="2"/>
    </x:row>
  </x:sheetData>
  <x:conditionalFormatting sqref="B6:B10">
    <x:cfRule type="containsText" dxfId="4" priority="1" operator="containsText" text="待"/>
  </x:conditionalFormatting>
  <x:conditionalFormatting sqref="D16:D18">
    <x:cfRule type="containsText" dxfId="5" priority="2" operator="containsText" text="待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6.5" hidden="0" customWidth="1"/>
    <x:col min="2" max="2" width="12.5" hidden="0" customWidth="1"/>
    <x:col min="3" max="3" width="32.25" hidden="0" customWidth="1"/>
    <x:col min="4" max="4" width="11.5" hidden="0" customWidth="1"/>
    <x:col min="5" max="5" width="10.25" hidden="0" customWidth="1"/>
    <x:col min="6" max="6" width="10.25" hidden="0" customWidth="1"/>
    <x:col min="7" max="7" width="14" hidden="0" customWidth="1"/>
    <x:col min="8" max="8" width="14.5" hidden="0" customWidth="1"/>
    <x:col min="9" max="9" width="17.5" hidden="0" customWidth="1"/>
    <x:col min="10" max="10" width="17.5" hidden="0" customWidth="1"/>
    <x:col min="11" max="11" width="39.380001068115234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6" customHeight="1">
      <x:c r="A2" s="3" t="str">
        <x:v>全流程费用明细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6" customHeight="1">
      <x:c r="A4" s="2" t="str">
        <x:v>黄色为可改输入；金额 = 数量 × 次数或天数 × 单价；按展期计价的项目不再乘展览天数。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6" customHeight="1">
      <x:c r="A5" s="2" t="str">
        <x:v>参考预算 税费待逐项确认｜本方收款 / 客户直付 / 不选；不选项目保留单价，但不进入已选合计。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26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4" customHeight="1">
      <x:c r="A7" s="7" t="str">
        <x:v>编号</x:v>
      </x:c>
      <x:c r="B7" s="7" t="str">
        <x:v>环节</x:v>
      </x:c>
      <x:c r="C7" s="7" t="str">
        <x:v>费用项目</x:v>
      </x:c>
      <x:c r="D7" s="7" t="str">
        <x:v>单位</x:v>
      </x:c>
      <x:c r="E7" s="7" t="str">
        <x:v>数量</x:v>
      </x:c>
      <x:c r="F7" s="7" t="str">
        <x:v>次数/天</x:v>
      </x:c>
      <x:c r="G7" s="7" t="str">
        <x:v>参考单价 元</x:v>
      </x:c>
      <x:c r="H7" s="7" t="str">
        <x:v>收款或选用</x:v>
      </x:c>
      <x:c r="I7" s="7" t="str">
        <x:v>金额 元</x:v>
      </x:c>
      <x:c r="J7" s="7" t="str">
        <x:v>依据编号</x:v>
      </x:c>
      <x:c r="K7" s="7" t="str">
        <x:v>交付和计费边界</x:v>
      </x:c>
    </x:row>
    <x:row r="8" ht="64" customHeight="1">
      <x:c r="A8" s="2" t="str">
        <x:v>Q01</x:v>
      </x:c>
      <x:c r="B8" s="13" t="str">
        <x:v>展前策划</x:v>
      </x:c>
      <x:c r="C8" s="13" t="str">
        <x:v>需求梳理及排期协调</x:v>
      </x:c>
      <x:c r="D8" s="13" t="str">
        <x:v>项</x:v>
      </x:c>
      <x:c r="E8" s="19" t="n">
        <x:v>1</x:v>
      </x:c>
      <x:c r="F8" s="19" t="n">
        <x:v>1</x:v>
      </x:c>
      <x:c r="G8" s="19" t="n">
        <x:v>1000</x:v>
      </x:c>
      <x:c r="H8" s="9" t="str">
        <x:v>本方收款</x:v>
      </x:c>
      <x:c r="I8" s="22" t="n">
        <x:f>IF(H8="不选","",IF(OR(H8="本方收款",H8="客户直付"),IF(COUNTBLANK(E8:G8)&gt;0,"待询价",IF(AND(ISNUMBER(E8),ISNUMBER(F8),ISNUMBER(G8)),IF(OR(E8&lt;0,F8&lt;0,G8&lt;0),"待核输入",ROUND(E8*F8*G8,2)),"待询价")),"待选收款"))</x:f>
        <x:v>1000</x:v>
      </x:c>
      <x:c r="J8" s="13" t="str">
        <x:v>E</x:v>
      </x:c>
      <x:c r="K8" s="13" t="str">
        <x:v>需求清单与交付排期；不含场地锁档权</x:v>
      </x:c>
    </x:row>
    <x:row r="9" ht="64" customHeight="1">
      <x:c r="A9" s="17" t="str">
        <x:v>Q02</x:v>
      </x:c>
      <x:c r="B9" s="18" t="str">
        <x:v>设计确认</x:v>
      </x:c>
      <x:c r="C9" s="18" t="str">
        <x:v>平面效果图及施工图整理</x:v>
      </x:c>
      <x:c r="D9" s="18" t="str">
        <x:v>项</x:v>
      </x:c>
      <x:c r="E9" s="19" t="n">
        <x:v>1</x:v>
      </x:c>
      <x:c r="F9" s="19" t="n">
        <x:v>1</x:v>
      </x:c>
      <x:c r="G9" s="19" t="n">
        <x:v>2000</x:v>
      </x:c>
      <x:c r="H9" s="9" t="str">
        <x:v>本方收款</x:v>
      </x:c>
      <x:c r="I9" s="23" t="n">
        <x:f>IF(H9="不选","",IF(OR(H9="本方收款",H9="客户直付"),IF(COUNTBLANK(E9:G9)&gt;0,"待询价",IF(AND(ISNUMBER(E9),ISNUMBER(F9),ISNUMBER(G9)),IF(OR(E9&lt;0,F9&lt;0,G9&lt;0),"待核输入",ROUND(E9*F9*G9,2)),"待询价")),"待选收款"))</x:f>
        <x:v>2000</x:v>
      </x:c>
      <x:c r="J9" s="18" t="str">
        <x:v>E</x:v>
      </x:c>
      <x:c r="K9" s="18" t="str">
        <x:v>1套方案及2轮修改；客户确认后冻结版本</x:v>
      </x:c>
    </x:row>
    <x:row r="10" ht="64" customHeight="1">
      <x:c r="A10" s="2" t="str">
        <x:v>Q03</x:v>
      </x:c>
      <x:c r="B10" s="13" t="str">
        <x:v>报馆准备</x:v>
      </x:c>
      <x:c r="C10" s="13" t="str">
        <x:v>报馆资料和订单协助</x:v>
      </x:c>
      <x:c r="D10" s="13" t="str">
        <x:v>项</x:v>
      </x:c>
      <x:c r="E10" s="19" t="n">
        <x:v>1</x:v>
      </x:c>
      <x:c r="F10" s="19" t="n">
        <x:v>1</x:v>
      </x:c>
      <x:c r="G10" s="19" t="n">
        <x:v>300</x:v>
      </x:c>
      <x:c r="H10" s="9" t="str">
        <x:v>本方收款</x:v>
      </x:c>
      <x:c r="I10" s="22" t="n">
        <x:f>IF(H10="不选","",IF(OR(H10="本方收款",H10="客户直付"),IF(COUNTBLANK(E10:G10)&gt;0,"待询价",IF(AND(ISNUMBER(E10),ISNUMBER(F10),ISNUMBER(G10)),IF(OR(E10&lt;0,F10&lt;0,G10&lt;0),"待核输入",ROUND(E10*F10*G10,2)),"待询价")),"待选收款"))</x:f>
        <x:v>300</x:v>
      </x:c>
      <x:c r="J10" s="13" t="str">
        <x:v>E</x:v>
      </x:c>
      <x:c r="K10" s="13" t="str">
        <x:v>整理及提交协助；专业审查费用另列Q19</x:v>
      </x:c>
    </x:row>
    <x:row r="11" ht="64" customHeight="1">
      <x:c r="A11" s="17" t="str">
        <x:v>Q04</x:v>
      </x:c>
      <x:c r="B11" s="18" t="str">
        <x:v>场地预订</x:v>
      </x:c>
      <x:c r="C11" s="18" t="str">
        <x:v>光地展位租赁参考</x:v>
      </x:c>
      <x:c r="D11" s="18" t="str">
        <x:v>㎡/展期</x:v>
      </x:c>
      <x:c r="E11" s="20" t="n">
        <x:f>'参数与依据'!$B$7</x:f>
        <x:v>36</x:v>
      </x:c>
      <x:c r="F11" s="19" t="n">
        <x:v>1</x:v>
      </x:c>
      <x:c r="G11" s="19" t="n">
        <x:v>1500</x:v>
      </x:c>
      <x:c r="H11" s="9" t="str">
        <x:v>客户直付</x:v>
      </x:c>
      <x:c r="I11" s="23" t="n">
        <x:f>IF(H11="不选","",IF(OR(H11="本方收款",H11="客户直付"),IF(COUNTBLANK(E11:G11)&gt;0,"待询价",IF(AND(ISNUMBER(E11),ISNUMBER(F11),ISNUMBER(G11)),IF(OR(E11&lt;0,F11&lt;0,G11&lt;0),"待核输入",ROUND(E11*F11*G11,2)),"待询价")),"待选收款"))</x:f>
        <x:v>54000</x:v>
      </x:c>
      <x:c r="J11" s="18" t="str">
        <x:v>S1 锚点</x:v>
      </x:c>
      <x:c r="K11" s="18" t="str">
        <x:v>主办方收款；非整馆场租；正式展会及位置待定</x:v>
      </x:c>
    </x:row>
    <x:row r="12" ht="64" customHeight="1">
      <x:c r="A12" s="2" t="str">
        <x:v>Q05</x:v>
      </x:c>
      <x:c r="B12" s="13" t="str">
        <x:v>场地预订</x:v>
      </x:c>
      <x:c r="C12" s="13" t="str">
        <x:v>媒体会刊等主办配套预留</x:v>
      </x:c>
      <x:c r="D12" s="13" t="str">
        <x:v>项</x:v>
      </x:c>
      <x:c r="E12" s="19" t="n">
        <x:v>1</x:v>
      </x:c>
      <x:c r="F12" s="19" t="n">
        <x:v>1</x:v>
      </x:c>
      <x:c r="G12" s="19" t="n">
        <x:v>2000</x:v>
      </x:c>
      <x:c r="H12" s="9" t="str">
        <x:v>客户直付</x:v>
      </x:c>
      <x:c r="I12" s="22" t="n">
        <x:f>IF(H12="不选","",IF(OR(H12="本方收款",H12="客户直付"),IF(COUNTBLANK(E12:G12)&gt;0,"待询价",IF(AND(ISNUMBER(E12),ISNUMBER(F12),ISNUMBER(G12)),IF(OR(E12&lt;0,F12&lt;0,G12&lt;0),"待核输入",ROUND(E12*F12*G12,2)),"待询价")),"待选收款"))</x:f>
        <x:v>2000</x:v>
      </x:c>
      <x:c r="J12" s="13" t="str">
        <x:v>S1 锚点</x:v>
      </x:c>
      <x:c r="K12" s="13" t="str">
        <x:v>仅S1展会必选；其他展会是否收取待确认</x:v>
      </x:c>
    </x:row>
    <x:row r="13" ht="64" customHeight="1">
      <x:c r="A13" s="17" t="str">
        <x:v>Q06</x:v>
      </x:c>
      <x:c r="B13" s="18" t="str">
        <x:v>制作搭建</x:v>
      </x:c>
      <x:c r="C13" s="18" t="str">
        <x:v>单层模块化框架及基础软膜</x:v>
      </x:c>
      <x:c r="D13" s="18" t="str">
        <x:v>㎡</x:v>
      </x:c>
      <x:c r="E13" s="20" t="n">
        <x:f>'参数与依据'!$B$7</x:f>
        <x:v>36</x:v>
      </x:c>
      <x:c r="F13" s="19" t="n">
        <x:v>1</x:v>
      </x:c>
      <x:c r="G13" s="19" t="n">
        <x:v>420</x:v>
      </x:c>
      <x:c r="H13" s="9" t="str">
        <x:v>本方收款</x:v>
      </x:c>
      <x:c r="I13" s="23" t="n">
        <x:f>IF(H13="不选","",IF(OR(H13="本方收款",H13="客户直付"),IF(COUNTBLANK(E13:G13)&gt;0,"待询价",IF(AND(ISNUMBER(E13),ISNUMBER(F13),ISNUMBER(G13)),IF(OR(E13&lt;0,F13&lt;0,G13&lt;0),"待核输入",ROUND(E13*F13*G13,2)),"待询价")),"待选收款"))</x:f>
        <x:v>15120</x:v>
      </x:c>
      <x:c r="J13" s="18" t="str">
        <x:v>S2 推算</x:v>
      </x:c>
      <x:c r="K13" s="18" t="str">
        <x:v>含基础画面及搭建拆除人工；展材运输另列Q14</x:v>
      </x:c>
    </x:row>
    <x:row r="14" ht="64" customHeight="1">
      <x:c r="A14" s="2" t="str">
        <x:v>Q07</x:v>
      </x:c>
      <x:c r="B14" s="13" t="str">
        <x:v>制作搭建</x:v>
      </x:c>
      <x:c r="C14" s="13" t="str">
        <x:v>展示台组合</x:v>
      </x:c>
      <x:c r="D14" s="13" t="str">
        <x:v>项</x:v>
      </x:c>
      <x:c r="E14" s="19" t="n">
        <x:v>1</x:v>
      </x:c>
      <x:c r="F14" s="19" t="n">
        <x:v>1</x:v>
      </x:c>
      <x:c r="G14" s="19" t="n">
        <x:v>2700</x:v>
      </x:c>
      <x:c r="H14" s="9" t="str">
        <x:v>本方收款</x:v>
      </x:c>
      <x:c r="I14" s="22" t="n">
        <x:f>IF(H14="不选","",IF(OR(H14="本方收款",H14="客户直付"),IF(COUNTBLANK(E14:G14)&gt;0,"待询价",IF(AND(ISNUMBER(E14),ISNUMBER(F14),ISNUMBER(G14)),IF(OR(E14&lt;0,F14&lt;0,G14&lt;0),"待核输入",ROUND(E14*F14*G14,2)),"待询价")),"待选收款"))</x:f>
        <x:v>2700</x:v>
      </x:c>
      <x:c r="J14" s="13" t="str">
        <x:v>S2 锚点</x:v>
      </x:c>
      <x:c r="K14" s="13" t="str">
        <x:v>规格及数量需按展品尺寸确认</x:v>
      </x:c>
    </x:row>
    <x:row r="15" ht="64" customHeight="1">
      <x:c r="A15" s="17" t="str">
        <x:v>Q08</x:v>
      </x:c>
      <x:c r="B15" s="18" t="str">
        <x:v>制作搭建</x:v>
      </x:c>
      <x:c r="C15" s="18" t="str">
        <x:v>前台租赁</x:v>
      </x:c>
      <x:c r="D15" s="18" t="str">
        <x:v>个</x:v>
      </x:c>
      <x:c r="E15" s="19" t="n">
        <x:v>1</x:v>
      </x:c>
      <x:c r="F15" s="19" t="n">
        <x:v>1</x:v>
      </x:c>
      <x:c r="G15" s="19" t="n">
        <x:v>500</x:v>
      </x:c>
      <x:c r="H15" s="9" t="str">
        <x:v>本方收款</x:v>
      </x:c>
      <x:c r="I15" s="23" t="n">
        <x:f>IF(H15="不选","",IF(OR(H15="本方收款",H15="客户直付"),IF(COUNTBLANK(E15:G15)&gt;0,"待询价",IF(AND(ISNUMBER(E15),ISNUMBER(F15),ISNUMBER(G15)),IF(OR(E15&lt;0,F15&lt;0,G15&lt;0),"待核输入",ROUND(E15*F15*G15,2)),"待询价")),"待选收款"))</x:f>
        <x:v>500</x:v>
      </x:c>
      <x:c r="J15" s="18" t="str">
        <x:v>S2 锚点</x:v>
      </x:c>
      <x:c r="K15" s="18" t="str">
        <x:v>约1000×500×1000mm；展期打包</x:v>
      </x:c>
    </x:row>
    <x:row r="16" ht="64" customHeight="1">
      <x:c r="A16" s="2" t="str">
        <x:v>Q09</x:v>
      </x:c>
      <x:c r="B16" s="13" t="str">
        <x:v>制作搭建</x:v>
      </x:c>
      <x:c r="C16" s="13" t="str">
        <x:v>阻燃地毯</x:v>
      </x:c>
      <x:c r="D16" s="13" t="str">
        <x:v>㎡</x:v>
      </x:c>
      <x:c r="E16" s="21" t="n">
        <x:f>'参数与依据'!$B$7</x:f>
        <x:v>36</x:v>
      </x:c>
      <x:c r="F16" s="19" t="n">
        <x:v>1</x:v>
      </x:c>
      <x:c r="G16" s="19" t="n">
        <x:v>12</x:v>
      </x:c>
      <x:c r="H16" s="9" t="str">
        <x:v>本方收款</x:v>
      </x:c>
      <x:c r="I16" s="22" t="n">
        <x:f>IF(H16="不选","",IF(OR(H16="本方收款",H16="客户直付"),IF(COUNTBLANK(E16:G16)&gt;0,"待询价",IF(AND(ISNUMBER(E16),ISNUMBER(F16),ISNUMBER(G16)),IF(OR(E16&lt;0,F16&lt;0,G16&lt;0),"待核输入",ROUND(E16*F16*G16,2)),"待询价")),"待选收款"))</x:f>
        <x:v>432</x:v>
      </x:c>
      <x:c r="J16" s="13" t="str">
        <x:v>S2 锚点</x:v>
      </x:c>
      <x:c r="K16" s="13" t="str">
        <x:v>材料及铺设；清运见Q28</x:v>
      </x:c>
    </x:row>
    <x:row r="17" ht="64" customHeight="1">
      <x:c r="A17" s="17" t="str">
        <x:v>Q10</x:v>
      </x:c>
      <x:c r="B17" s="18" t="str">
        <x:v>制作搭建</x:v>
      </x:c>
      <x:c r="C17" s="18" t="str">
        <x:v>展位内插座</x:v>
      </x:c>
      <x:c r="D17" s="18" t="str">
        <x:v>个</x:v>
      </x:c>
      <x:c r="E17" s="19" t="n">
        <x:v>2</x:v>
      </x:c>
      <x:c r="F17" s="19" t="n">
        <x:v>1</x:v>
      </x:c>
      <x:c r="G17" s="19" t="n">
        <x:v>20</x:v>
      </x:c>
      <x:c r="H17" s="9" t="str">
        <x:v>本方收款</x:v>
      </x:c>
      <x:c r="I17" s="23" t="n">
        <x:f>IF(H17="不选","",IF(OR(H17="本方收款",H17="客户直付"),IF(COUNTBLANK(E17:G17)&gt;0,"待询价",IF(AND(ISNUMBER(E17),ISNUMBER(F17),ISNUMBER(G17)),IF(OR(E17&lt;0,F17&lt;0,G17&lt;0),"待核输入",ROUND(E17*F17*G17,2)),"待询价")),"待选收款"))</x:f>
        <x:v>40</x:v>
      </x:c>
      <x:c r="J17" s="18" t="str">
        <x:v>S2 锚点</x:v>
      </x:c>
      <x:c r="K17" s="18" t="str">
        <x:v>仅展位内配置；主电箱见Q16</x:v>
      </x:c>
    </x:row>
    <x:row r="18" ht="64" customHeight="1">
      <x:c r="A18" s="2" t="str">
        <x:v>Q11</x:v>
      </x:c>
      <x:c r="B18" s="13" t="str">
        <x:v>制作搭建</x:v>
      </x:c>
      <x:c r="C18" s="13" t="str">
        <x:v>基础射灯租赁</x:v>
      </x:c>
      <x:c r="D18" s="13" t="str">
        <x:v>盏</x:v>
      </x:c>
      <x:c r="E18" s="19" t="n">
        <x:v>16</x:v>
      </x:c>
      <x:c r="F18" s="19" t="n">
        <x:v>1</x:v>
      </x:c>
      <x:c r="G18" s="19" t="n">
        <x:v>30</x:v>
      </x:c>
      <x:c r="H18" s="9" t="str">
        <x:v>本方收款</x:v>
      </x:c>
      <x:c r="I18" s="22" t="n">
        <x:f>IF(H18="不选","",IF(OR(H18="本方收款",H18="客户直付"),IF(COUNTBLANK(E18:G18)&gt;0,"待询价",IF(AND(ISNUMBER(E18),ISNUMBER(F18),ISNUMBER(G18)),IF(OR(E18&lt;0,F18&lt;0,G18&lt;0),"待核输入",ROUND(E18*F18*G18,2)),"待询价")),"待选收款"))</x:f>
        <x:v>480</x:v>
      </x:c>
      <x:c r="J18" s="13" t="str">
        <x:v>S2 锚点</x:v>
      </x:c>
      <x:c r="K18" s="13" t="str">
        <x:v>展期打包；以电气负荷复核为准</x:v>
      </x:c>
    </x:row>
    <x:row r="19" ht="64" customHeight="1">
      <x:c r="A19" s="17" t="str">
        <x:v>Q12</x:v>
      </x:c>
      <x:c r="B19" s="18" t="str">
        <x:v>制作搭建</x:v>
      </x:c>
      <x:c r="C19" s="18" t="str">
        <x:v>洽谈桌椅组合租赁</x:v>
      </x:c>
      <x:c r="D19" s="18" t="str">
        <x:v>套</x:v>
      </x:c>
      <x:c r="E19" s="19" t="n">
        <x:v>4</x:v>
      </x:c>
      <x:c r="F19" s="19" t="n">
        <x:v>1</x:v>
      </x:c>
      <x:c r="G19" s="19" t="n">
        <x:v>145</x:v>
      </x:c>
      <x:c r="H19" s="9" t="str">
        <x:v>本方收款</x:v>
      </x:c>
      <x:c r="I19" s="23" t="n">
        <x:f>IF(H19="不选","",IF(OR(H19="本方收款",H19="客户直付"),IF(COUNTBLANK(E19:G19)&gt;0,"待询价",IF(AND(ISNUMBER(E19),ISNUMBER(F19),ISNUMBER(G19)),IF(OR(E19&lt;0,F19&lt;0,G19&lt;0),"待核输入",ROUND(E19*F19*G19,2)),"待询价")),"待选收款"))</x:f>
        <x:v>580</x:v>
      </x:c>
      <x:c r="J19" s="18" t="str">
        <x:v>S2 锚点</x:v>
      </x:c>
      <x:c r="K19" s="18" t="str">
        <x:v>组合配置待确认；展期打包</x:v>
      </x:c>
    </x:row>
    <x:row r="20" ht="64" customHeight="1">
      <x:c r="A20" s="2" t="str">
        <x:v>Q13</x:v>
      </x:c>
      <x:c r="B20" s="13" t="str">
        <x:v>增补物料</x:v>
      </x:c>
      <x:c r="C20" s="13" t="str">
        <x:v>额外独立画面制作</x:v>
      </x:c>
      <x:c r="D20" s="13" t="str">
        <x:v>㎡</x:v>
      </x:c>
      <x:c r="E20" s="19" t="n">
        <x:v>6</x:v>
      </x:c>
      <x:c r="F20" s="19" t="n">
        <x:v>1</x:v>
      </x:c>
      <x:c r="G20" s="19" t="n">
        <x:v>150</x:v>
      </x:c>
      <x:c r="H20" s="9" t="str">
        <x:v>不选</x:v>
      </x:c>
      <x:c r="I20" s="22" t="str">
        <x:f>IF(H20="不选","",IF(OR(H20="本方收款",H20="客户直付"),IF(COUNTBLANK(E20:G20)&gt;0,"待询价",IF(AND(ISNUMBER(E20),ISNUMBER(F20),ISNUMBER(G20)),IF(OR(E20&lt;0,F20&lt;0,G20&lt;0),"待核输入",ROUND(E20*F20*G20,2)),"待询价")),"待选收款"))</x:f>
      </x:c>
      <x:c r="J20" s="13" t="str">
        <x:v>E</x:v>
      </x:c>
      <x:c r="K20" s="13" t="str">
        <x:v>仅Q06基础软膜以外增补，不重复计费</x:v>
      </x:c>
    </x:row>
    <x:row r="21" ht="64" customHeight="1">
      <x:c r="A21" s="17" t="str">
        <x:v>Q14</x:v>
      </x:c>
      <x:c r="B21" s="18" t="str">
        <x:v>进撤场物流</x:v>
      </x:c>
      <x:c r="C21" s="18" t="str">
        <x:v>搭建展材往返运输</x:v>
      </x:c>
      <x:c r="D21" s="18" t="str">
        <x:v>项</x:v>
      </x:c>
      <x:c r="E21" s="19" t="n">
        <x:v>1</x:v>
      </x:c>
      <x:c r="F21" s="19" t="n">
        <x:v>1</x:v>
      </x:c>
      <x:c r="G21" s="19" t="n">
        <x:v>1800</x:v>
      </x:c>
      <x:c r="H21" s="9" t="str">
        <x:v>本方收款</x:v>
      </x:c>
      <x:c r="I21" s="23" t="n">
        <x:f>IF(H21="不选","",IF(OR(H21="本方收款",H21="客户直付"),IF(COUNTBLANK(E21:G21)&gt;0,"待询价",IF(AND(ISNUMBER(E21),ISNUMBER(F21),ISNUMBER(G21)),IF(OR(E21&lt;0,F21&lt;0,G21&lt;0),"待核输入",ROUND(E21*F21*G21,2)),"待询价")),"待选收款"))</x:f>
        <x:v>1800</x:v>
      </x:c>
      <x:c r="J21" s="18" t="str">
        <x:v>E</x:v>
      </x:c>
      <x:c r="K21" s="18" t="str">
        <x:v>上海市内轻型展材；不含客户展品及特殊装卸</x:v>
      </x:c>
    </x:row>
    <x:row r="22" ht="64" customHeight="1">
      <x:c r="A22" s="2" t="str">
        <x:v>Q15</x:v>
      </x:c>
      <x:c r="B22" s="13" t="str">
        <x:v>场馆手续</x:v>
      </x:c>
      <x:c r="C22" s="13" t="str">
        <x:v>搭建管理费参考</x:v>
      </x:c>
      <x:c r="D22" s="13" t="str">
        <x:v>㎡/展期</x:v>
      </x:c>
      <x:c r="E22" s="21" t="n">
        <x:f>'参数与依据'!$B$7</x:f>
        <x:v>36</x:v>
      </x:c>
      <x:c r="F22" s="19" t="n">
        <x:v>1</x:v>
      </x:c>
      <x:c r="G22" s="19" t="n">
        <x:v>28</x:v>
      </x:c>
      <x:c r="H22" s="9" t="str">
        <x:v>客户直付</x:v>
      </x:c>
      <x:c r="I22" s="22" t="n">
        <x:f>IF(H22="不选","",IF(OR(H22="本方收款",H22="客户直付"),IF(COUNTBLANK(E22:G22)&gt;0,"待询价",IF(AND(ISNUMBER(E22),ISNUMBER(F22),ISNUMBER(G22)),IF(OR(E22&lt;0,F22&lt;0,G22&lt;0),"待核输入",ROUND(E22*F22*G22,2)),"待询价")),"待选收款"))</x:f>
        <x:v>1008</x:v>
      </x:c>
      <x:c r="J22" s="13" t="str">
        <x:v>S3 p33</x:v>
      </x:c>
      <x:c r="K22" s="13" t="str">
        <x:v>按目标场馆通知；不可再加收S2同类基础服务费</x:v>
      </x:c>
    </x:row>
    <x:row r="23" ht="64" customHeight="1">
      <x:c r="A23" s="17" t="str">
        <x:v>Q16</x:v>
      </x:c>
      <x:c r="B23" s="18" t="str">
        <x:v>场馆手续</x:v>
      </x:c>
      <x:c r="C23" s="18" t="str">
        <x:v>照明电箱及主场接驳参考</x:v>
      </x:c>
      <x:c r="D23" s="18" t="str">
        <x:v>个/展期</x:v>
      </x:c>
      <x:c r="E23" s="19" t="n">
        <x:v>1</x:v>
      </x:c>
      <x:c r="F23" s="19" t="n">
        <x:v>1</x:v>
      </x:c>
      <x:c r="G23" s="19" t="n">
        <x:v>1830</x:v>
      </x:c>
      <x:c r="H23" s="9" t="str">
        <x:v>客户直付</x:v>
      </x:c>
      <x:c r="I23" s="23" t="n">
        <x:f>IF(H23="不选","",IF(OR(H23="本方收款",H23="客户直付"),IF(COUNTBLANK(E23:G23)&gt;0,"待询价",IF(AND(ISNUMBER(E23),ISNUMBER(F23),ISNUMBER(G23)),IF(OR(E23&lt;0,F23&lt;0,G23&lt;0),"待核输入",ROUND(E23*F23*G23,2)),"待询价")),"待选收款"))</x:f>
        <x:v>1830</x:v>
      </x:c>
      <x:c r="J23" s="18" t="str">
        <x:v>S3 p36</x:v>
      </x:c>
      <x:c r="K23" s="18" t="str">
        <x:v>15A/380V示例；负荷及是否含全部电费需询证</x:v>
      </x:c>
    </x:row>
    <x:row r="24" ht="64" customHeight="1">
      <x:c r="A24" s="2" t="str">
        <x:v>Q17</x:v>
      </x:c>
      <x:c r="B24" s="13" t="str">
        <x:v>场馆手续</x:v>
      </x:c>
      <x:c r="C24" s="13" t="str">
        <x:v>展会责任保险预算预留</x:v>
      </x:c>
      <x:c r="D24" s="13" t="str">
        <x:v>项</x:v>
      </x:c>
      <x:c r="E24" s="19" t="n">
        <x:v>1</x:v>
      </x:c>
      <x:c r="F24" s="19" t="n">
        <x:v>1</x:v>
      </x:c>
      <x:c r="G24" s="19" t="n">
        <x:v>300</x:v>
      </x:c>
      <x:c r="H24" s="9" t="str">
        <x:v>客户直付</x:v>
      </x:c>
      <x:c r="I24" s="22" t="n">
        <x:f>IF(H24="不选","",IF(OR(H24="本方收款",H24="客户直付"),IF(COUNTBLANK(E24:G24)&gt;0,"待询价",IF(AND(ISNUMBER(E24),ISNUMBER(F24),ISNUMBER(G24)),IF(OR(E24&lt;0,F24&lt;0,G24&lt;0),"待核输入",ROUND(E24*F24*G24,2)),"待询价")),"待选收款"))</x:f>
        <x:v>300</x:v>
      </x:c>
      <x:c r="J24" s="13" t="str">
        <x:v>E</x:v>
      </x:c>
      <x:c r="K24" s="13" t="str">
        <x:v>险种保额由主办及保险方确认；不是保险报价</x:v>
      </x:c>
    </x:row>
    <x:row r="25" ht="64" customHeight="1">
      <x:c r="A25" s="17" t="str">
        <x:v>Q18</x:v>
      </x:c>
      <x:c r="B25" s="18" t="str">
        <x:v>场馆手续</x:v>
      </x:c>
      <x:c r="C25" s="18" t="str">
        <x:v>施工及车辆证件预算预留</x:v>
      </x:c>
      <x:c r="D25" s="18" t="str">
        <x:v>份</x:v>
      </x:c>
      <x:c r="E25" s="19" t="n">
        <x:v>6</x:v>
      </x:c>
      <x:c r="F25" s="19" t="n">
        <x:v>1</x:v>
      </x:c>
      <x:c r="G25" s="19" t="n">
        <x:v>50</x:v>
      </x:c>
      <x:c r="H25" s="9" t="str">
        <x:v>客户直付</x:v>
      </x:c>
      <x:c r="I25" s="23" t="n">
        <x:f>IF(H25="不选","",IF(OR(H25="本方收款",H25="客户直付"),IF(COUNTBLANK(E25:G25)&gt;0,"待询价",IF(AND(ISNUMBER(E25),ISNUMBER(F25),ISNUMBER(G25)),IF(OR(E25&lt;0,F25&lt;0,G25&lt;0),"待核输入",ROUND(E25*F25*G25,2)),"待询价")),"待选收款"))</x:f>
        <x:v>300</x:v>
      </x:c>
      <x:c r="J25" s="18" t="str">
        <x:v>E</x:v>
      </x:c>
      <x:c r="K25" s="18" t="str">
        <x:v>数量与办证费待核实；按正式通知替换</x:v>
      </x:c>
    </x:row>
    <x:row r="26" ht="64" customHeight="1">
      <x:c r="A26" s="2" t="str">
        <x:v>Q19</x:v>
      </x:c>
      <x:c r="B26" s="13" t="str">
        <x:v>场馆手续</x:v>
      </x:c>
      <x:c r="C26" s="13" t="str">
        <x:v>专业审图及消防配套预留</x:v>
      </x:c>
      <x:c r="D26" s="13" t="str">
        <x:v>项</x:v>
      </x:c>
      <x:c r="E26" s="19" t="n">
        <x:v>1</x:v>
      </x:c>
      <x:c r="F26" s="19" t="n">
        <x:v>1</x:v>
      </x:c>
      <x:c r="G26" s="19" t="n">
        <x:v>500</x:v>
      </x:c>
      <x:c r="H26" s="9" t="str">
        <x:v>客户直付</x:v>
      </x:c>
      <x:c r="I26" s="22" t="n">
        <x:f>IF(H26="不选","",IF(OR(H26="本方收款",H26="客户直付"),IF(COUNTBLANK(E26:G26)&gt;0,"待询价",IF(AND(ISNUMBER(E26),ISNUMBER(F26),ISNUMBER(G26)),IF(OR(E26&lt;0,F26&lt;0,G26&lt;0),"待核输入",ROUND(E26*F26*G26,2)),"待询价")),"待选收款"))</x:f>
        <x:v>500</x:v>
      </x:c>
      <x:c r="J26" s="13" t="str">
        <x:v>E</x:v>
      </x:c>
      <x:c r="K26" s="13" t="str">
        <x:v>是否适用和收费主体待核；不承诺审核通过</x:v>
      </x:c>
    </x:row>
    <x:row r="27" ht="64" customHeight="1">
      <x:c r="A27" s="17" t="str">
        <x:v>Q20</x:v>
      </x:c>
      <x:c r="B27" s="18" t="str">
        <x:v>展品物流</x:v>
      </x:c>
      <x:c r="C27" s="18" t="str">
        <x:v>普通展品同城往返运输</x:v>
      </x:c>
      <x:c r="D27" s="18" t="str">
        <x:v>车次</x:v>
      </x:c>
      <x:c r="E27" s="19" t="n">
        <x:v>1</x:v>
      </x:c>
      <x:c r="F27" s="19" t="n">
        <x:v>2</x:v>
      </x:c>
      <x:c r="G27" s="19" t="n">
        <x:v>800</x:v>
      </x:c>
      <x:c r="H27" s="9" t="str">
        <x:v>本方收款</x:v>
      </x:c>
      <x:c r="I27" s="23" t="n">
        <x:f>IF(H27="不选","",IF(OR(H27="本方收款",H27="客户直付"),IF(COUNTBLANK(E27:G27)&gt;0,"待询价",IF(AND(ISNUMBER(E27),ISNUMBER(F27),ISNUMBER(G27)),IF(OR(E27&lt;0,F27&lt;0,G27&lt;0),"待核输入",ROUND(E27*F27*G27,2)),"待询价")),"待选收款"))</x:f>
        <x:v>1600</x:v>
      </x:c>
      <x:c r="J27" s="18" t="str">
        <x:v>E</x:v>
      </x:c>
      <x:c r="K27" s="18" t="str">
        <x:v>轻型展品及单点装卸；超重超限吊装另询</x:v>
      </x:c>
    </x:row>
    <x:row r="28" ht="64" customHeight="1">
      <x:c r="A28" s="2" t="str">
        <x:v>Q21</x:v>
      </x:c>
      <x:c r="B28" s="13" t="str">
        <x:v>展品物流</x:v>
      </x:c>
      <x:c r="C28" s="13" t="str">
        <x:v>轻型展品进出场装卸</x:v>
      </x:c>
      <x:c r="D28" s="13" t="str">
        <x:v>m³/次</x:v>
      </x:c>
      <x:c r="E28" s="19" t="n">
        <x:v>5</x:v>
      </x:c>
      <x:c r="F28" s="19" t="n">
        <x:v>2</x:v>
      </x:c>
      <x:c r="G28" s="19" t="n">
        <x:v>80</x:v>
      </x:c>
      <x:c r="H28" s="9" t="str">
        <x:v>本方收款</x:v>
      </x:c>
      <x:c r="I28" s="22" t="n">
        <x:f>IF(H28="不选","",IF(OR(H28="本方收款",H28="客户直付"),IF(COUNTBLANK(E28:G28)&gt;0,"待询价",IF(AND(ISNUMBER(E28),ISNUMBER(F28),ISNUMBER(G28)),IF(OR(E28&lt;0,F28&lt;0,G28&lt;0),"待核输入",ROUND(E28*F28*G28,2)),"待询价")),"待选收款"))</x:f>
        <x:v>800</x:v>
      </x:c>
      <x:c r="J28" s="13" t="str">
        <x:v>E</x:v>
      </x:c>
      <x:c r="K28" s="13" t="str">
        <x:v>预算假设；主办若已包付应改为不选</x:v>
      </x:c>
    </x:row>
    <x:row r="29" ht="64" customHeight="1">
      <x:c r="A29" s="17" t="str">
        <x:v>Q22</x:v>
      </x:c>
      <x:c r="B29" s="18" t="str">
        <x:v>展品物流</x:v>
      </x:c>
      <x:c r="C29" s="18" t="str">
        <x:v>空箱短期保管预算</x:v>
      </x:c>
      <x:c r="D29" s="18" t="str">
        <x:v>项</x:v>
      </x:c>
      <x:c r="E29" s="19" t="n">
        <x:v>1</x:v>
      </x:c>
      <x:c r="F29" s="19" t="n">
        <x:v>1</x:v>
      </x:c>
      <x:c r="G29" s="19" t="n">
        <x:v>300</x:v>
      </x:c>
      <x:c r="H29" s="9" t="str">
        <x:v>本方收款</x:v>
      </x:c>
      <x:c r="I29" s="23" t="n">
        <x:f>IF(H29="不选","",IF(OR(H29="本方收款",H29="客户直付"),IF(COUNTBLANK(E29:G29)&gt;0,"待询价",IF(AND(ISNUMBER(E29),ISNUMBER(F29),ISNUMBER(G29)),IF(OR(E29&lt;0,F29&lt;0,G29&lt;0),"待核输入",ROUND(E29*F29*G29,2)),"待询价")),"待选收款"))</x:f>
        <x:v>300</x:v>
      </x:c>
      <x:c r="J29" s="18" t="str">
        <x:v>E</x:v>
      </x:c>
      <x:c r="K29" s="18" t="str">
        <x:v>少量空箱；无危险品；保管条件另确认</x:v>
      </x:c>
    </x:row>
    <x:row r="30" ht="64" customHeight="1">
      <x:c r="A30" s="2" t="str">
        <x:v>Q23</x:v>
      </x:c>
      <x:c r="B30" s="13" t="str">
        <x:v>展中服务</x:v>
      </x:c>
      <x:c r="C30" s="13" t="str">
        <x:v>55英寸显示设备租赁</x:v>
      </x:c>
      <x:c r="D30" s="13" t="str">
        <x:v>台/天</x:v>
      </x:c>
      <x:c r="E30" s="19" t="n">
        <x:v>1</x:v>
      </x:c>
      <x:c r="F30" s="21" t="n">
        <x:f>'参数与依据'!$B$8</x:f>
        <x:v>3</x:v>
      </x:c>
      <x:c r="G30" s="19" t="n">
        <x:v>300</x:v>
      </x:c>
      <x:c r="H30" s="9" t="str">
        <x:v>本方收款</x:v>
      </x:c>
      <x:c r="I30" s="22" t="n">
        <x:f>IF(H30="不选","",IF(OR(H30="本方收款",H30="客户直付"),IF(COUNTBLANK(E30:G30)&gt;0,"待询价",IF(AND(ISNUMBER(E30),ISNUMBER(F30),ISNUMBER(G30)),IF(OR(E30&lt;0,F30&lt;0,G30&lt;0),"待核输入",ROUND(E30*F30*G30,2)),"待询价")),"待选收款"))</x:f>
        <x:v>900</x:v>
      </x:c>
      <x:c r="J30" s="13" t="str">
        <x:v>E</x:v>
      </x:c>
      <x:c r="K30" s="13" t="str">
        <x:v>常规显示设备；内容由客户提供，含基础安装</x:v>
      </x:c>
    </x:row>
    <x:row r="31" ht="64" customHeight="1">
      <x:c r="A31" s="17" t="str">
        <x:v>Q24</x:v>
      </x:c>
      <x:c r="B31" s="18" t="str">
        <x:v>展中服务</x:v>
      </x:c>
      <x:c r="C31" s="18" t="str">
        <x:v>接待协助人员</x:v>
      </x:c>
      <x:c r="D31" s="18" t="str">
        <x:v>人/天</x:v>
      </x:c>
      <x:c r="E31" s="19" t="n">
        <x:v>2</x:v>
      </x:c>
      <x:c r="F31" s="20" t="n">
        <x:f>'参数与依据'!$B$8</x:f>
        <x:v>3</x:v>
      </x:c>
      <x:c r="G31" s="19" t="n">
        <x:v>450</x:v>
      </x:c>
      <x:c r="H31" s="9" t="str">
        <x:v>本方收款</x:v>
      </x:c>
      <x:c r="I31" s="23" t="n">
        <x:f>IF(H31="不选","",IF(OR(H31="本方收款",H31="客户直付"),IF(COUNTBLANK(E31:G31)&gt;0,"待询价",IF(AND(ISNUMBER(E31),ISNUMBER(F31),ISNUMBER(G31)),IF(OR(E31&lt;0,F31&lt;0,G31&lt;0),"待核输入",ROUND(E31*F31*G31,2)),"待询价")),"待选收款"))</x:f>
        <x:v>2700</x:v>
      </x:c>
      <x:c r="J31" s="18" t="str">
        <x:v>E</x:v>
      </x:c>
      <x:c r="K31" s="18" t="str">
        <x:v>每日8小时；不含专业翻译及加班</x:v>
      </x:c>
    </x:row>
    <x:row r="32" ht="64" customHeight="1">
      <x:c r="A32" s="2" t="str">
        <x:v>Q25</x:v>
      </x:c>
      <x:c r="B32" s="13" t="str">
        <x:v>展中服务</x:v>
      </x:c>
      <x:c r="C32" s="13" t="str">
        <x:v>现场项目协调</x:v>
      </x:c>
      <x:c r="D32" s="13" t="str">
        <x:v>人/天</x:v>
      </x:c>
      <x:c r="E32" s="19" t="n">
        <x:v>1</x:v>
      </x:c>
      <x:c r="F32" s="21" t="n">
        <x:f>'参数与依据'!$B$8</x:f>
        <x:v>3</x:v>
      </x:c>
      <x:c r="G32" s="19" t="n">
        <x:v>700</x:v>
      </x:c>
      <x:c r="H32" s="9" t="str">
        <x:v>本方收款</x:v>
      </x:c>
      <x:c r="I32" s="22" t="n">
        <x:f>IF(H32="不选","",IF(OR(H32="本方收款",H32="客户直付"),IF(COUNTBLANK(E32:G32)&gt;0,"待询价",IF(AND(ISNUMBER(E32),ISNUMBER(F32),ISNUMBER(G32)),IF(OR(E32&lt;0,F32&lt;0,G32&lt;0),"待核输入",ROUND(E32*F32*G32,2)),"待询价")),"待选收款"))</x:f>
        <x:v>2100</x:v>
      </x:c>
      <x:c r="J32" s="13" t="str">
        <x:v>E</x:v>
      </x:c>
      <x:c r="K32" s="13" t="str">
        <x:v>每日8小时；含问题单及版本交接</x:v>
      </x:c>
    </x:row>
    <x:row r="33" ht="64" customHeight="1">
      <x:c r="A33" s="17" t="str">
        <x:v>Q26</x:v>
      </x:c>
      <x:c r="B33" s="18" t="str">
        <x:v>增值服务</x:v>
      </x:c>
      <x:c r="C33" s="18" t="str">
        <x:v>活动摄影服务</x:v>
      </x:c>
      <x:c r="D33" s="18" t="str">
        <x:v>人/天</x:v>
      </x:c>
      <x:c r="E33" s="19" t="n">
        <x:v>1</x:v>
      </x:c>
      <x:c r="F33" s="19" t="n">
        <x:v>1</x:v>
      </x:c>
      <x:c r="G33" s="19" t="n">
        <x:v>1200</x:v>
      </x:c>
      <x:c r="H33" s="9" t="str">
        <x:v>不选</x:v>
      </x:c>
      <x:c r="I33" s="23" t="str">
        <x:f>IF(H33="不选","",IF(OR(H33="本方收款",H33="客户直付"),IF(COUNTBLANK(E33:G33)&gt;0,"待询价",IF(AND(ISNUMBER(E33),ISNUMBER(F33),ISNUMBER(G33)),IF(OR(E33&lt;0,F33&lt;0,G33&lt;0),"待核输入",ROUND(E33*F33*G33,2)),"待询价")),"待选收款"))</x:f>
      </x:c>
      <x:c r="J33" s="18" t="str">
        <x:v>E</x:v>
      </x:c>
      <x:c r="K33" s="18" t="str">
        <x:v>拍摄对象授权及交付数量另确认</x:v>
      </x:c>
    </x:row>
    <x:row r="34" ht="64" customHeight="1">
      <x:c r="A34" s="2" t="str">
        <x:v>Q27</x:v>
      </x:c>
      <x:c r="B34" s="13" t="str">
        <x:v>展中服务</x:v>
      </x:c>
      <x:c r="C34" s="13" t="str">
        <x:v>展位日常保洁</x:v>
      </x:c>
      <x:c r="D34" s="13" t="str">
        <x:v>项/天</x:v>
      </x:c>
      <x:c r="E34" s="19" t="n">
        <x:v>1</x:v>
      </x:c>
      <x:c r="F34" s="21" t="n">
        <x:f>'参数与依据'!$B$8</x:f>
        <x:v>3</x:v>
      </x:c>
      <x:c r="G34" s="19" t="n">
        <x:v>120</x:v>
      </x:c>
      <x:c r="H34" s="9" t="str">
        <x:v>本方收款</x:v>
      </x:c>
      <x:c r="I34" s="22" t="n">
        <x:f>IF(H34="不选","",IF(OR(H34="本方收款",H34="客户直付"),IF(COUNTBLANK(E34:G34)&gt;0,"待询价",IF(AND(ISNUMBER(E34),ISNUMBER(F34),ISNUMBER(G34)),IF(OR(E34&lt;0,F34&lt;0,G34&lt;0),"待核输入",ROUND(E34*F34*G34,2)),"待询价")),"待选收款"))</x:f>
        <x:v>360</x:v>
      </x:c>
      <x:c r="J34" s="13" t="str">
        <x:v>E</x:v>
      </x:c>
      <x:c r="K34" s="13" t="str">
        <x:v>仅展位基础清洁，不含场馆公共区域</x:v>
      </x:c>
    </x:row>
    <x:row r="35" ht="64" customHeight="1">
      <x:c r="A35" s="17" t="str">
        <x:v>Q28</x:v>
      </x:c>
      <x:c r="B35" s="18" t="str">
        <x:v>撤展结算</x:v>
      </x:c>
      <x:c r="C35" s="18" t="str">
        <x:v>撤展废弃物清运</x:v>
      </x:c>
      <x:c r="D35" s="18" t="str">
        <x:v>㎡</x:v>
      </x:c>
      <x:c r="E35" s="20" t="n">
        <x:f>'参数与依据'!$B$7</x:f>
        <x:v>36</x:v>
      </x:c>
      <x:c r="F35" s="19" t="n">
        <x:v>1</x:v>
      </x:c>
      <x:c r="G35" s="19" t="n">
        <x:v>15</x:v>
      </x:c>
      <x:c r="H35" s="9" t="str">
        <x:v>本方收款</x:v>
      </x:c>
      <x:c r="I35" s="23" t="n">
        <x:f>IF(H35="不选","",IF(OR(H35="本方收款",H35="客户直付"),IF(COUNTBLANK(E35:G35)&gt;0,"待询价",IF(AND(ISNUMBER(E35),ISNUMBER(F35),ISNUMBER(G35)),IF(OR(E35&lt;0,F35&lt;0,G35&lt;0),"待核输入",ROUND(E35*F35*G35,2)),"待询价")),"待选收款"))</x:f>
        <x:v>540</x:v>
      </x:c>
      <x:c r="J35" s="18" t="str">
        <x:v>E</x:v>
      </x:c>
      <x:c r="K35" s="18" t="str">
        <x:v>普通展材清运；拆除人工已含Q06</x:v>
      </x:c>
    </x:row>
    <x:row r="36" ht="64" customHeight="1">
      <x:c r="A36" s="2" t="str">
        <x:v>Q29</x:v>
      </x:c>
      <x:c r="B36" s="13" t="str">
        <x:v>可选加班</x:v>
      </x:c>
      <x:c r="C36" s="13" t="str">
        <x:v>场馆布撤展加班参考</x:v>
      </x:c>
      <x:c r="D36" s="13" t="str">
        <x:v>千㎡/小时</x:v>
      </x:c>
      <x:c r="E36" s="19" t="n">
        <x:v>1</x:v>
      </x:c>
      <x:c r="F36" s="19" t="n">
        <x:v>2</x:v>
      </x:c>
      <x:c r="G36" s="19" t="n">
        <x:v>1100</x:v>
      </x:c>
      <x:c r="H36" s="9" t="str">
        <x:v>不选</x:v>
      </x:c>
      <x:c r="I36" s="22" t="str">
        <x:f>IF(H36="不选","",IF(OR(H36="本方收款",H36="客户直付"),IF(COUNTBLANK(E36:G36)&gt;0,"待询价",IF(AND(ISNUMBER(E36),ISNUMBER(F36),ISNUMBER(G36)),IF(OR(E36&lt;0,F36&lt;0,G36&lt;0),"待核输入",ROUND(E36*F36*G36,2)),"待询价")),"待选收款"))</x:f>
      </x:c>
      <x:c r="J36" s="13" t="str">
        <x:v>S3 p34</x:v>
      </x:c>
      <x:c r="K36" s="13" t="str">
        <x:v>不足1000㎡按1000㎡计；仅示例时段，不含人工加班</x:v>
      </x:c>
    </x:row>
    <x:row r="37" ht="64" customHeight="1">
      <x:c r="A37" s="17" t="str">
        <x:v>Q30</x:v>
      </x:c>
      <x:c r="B37" s="18" t="str">
        <x:v>可选配套</x:v>
      </x:c>
      <x:c r="C37" s="18" t="str">
        <x:v>共享10M宽带参考</x:v>
      </x:c>
      <x:c r="D37" s="18" t="str">
        <x:v>条/展期</x:v>
      </x:c>
      <x:c r="E37" s="19" t="n">
        <x:v>1</x:v>
      </x:c>
      <x:c r="F37" s="19" t="n">
        <x:v>1</x:v>
      </x:c>
      <x:c r="G37" s="19" t="n">
        <x:v>4500</x:v>
      </x:c>
      <x:c r="H37" s="9" t="str">
        <x:v>不选</x:v>
      </x:c>
      <x:c r="I37" s="23" t="str">
        <x:f>IF(H37="不选","",IF(OR(H37="本方收款",H37="客户直付"),IF(COUNTBLANK(E37:G37)&gt;0,"待询价",IF(AND(ISNUMBER(E37),ISNUMBER(F37),ISNUMBER(G37)),IF(OR(E37&lt;0,F37&lt;0,G37&lt;0),"待核输入",ROUND(E37*F37*G37,2)),"待询价")),"待选收款"))</x:f>
      </x:c>
      <x:c r="J37" s="18" t="str">
        <x:v>S3 p36</x:v>
      </x:c>
      <x:c r="K37" s="18" t="str">
        <x:v>带宽及可用性由目标展会确认</x:v>
      </x:c>
    </x:row>
    <x:row r="38" ht="64" customHeight="1">
      <x:c r="A38" s="2" t="str">
        <x:v>Q31</x:v>
      </x:c>
      <x:c r="B38" s="13" t="str">
        <x:v>可选配套</x:v>
      </x:c>
      <x:c r="C38" s="13" t="str">
        <x:v>展台给排水参考</x:v>
      </x:c>
      <x:c r="D38" s="13" t="str">
        <x:v>项/展期</x:v>
      </x:c>
      <x:c r="E38" s="19" t="n">
        <x:v>1</x:v>
      </x:c>
      <x:c r="F38" s="19" t="n">
        <x:v>1</x:v>
      </x:c>
      <x:c r="G38" s="19" t="n">
        <x:v>2970</x:v>
      </x:c>
      <x:c r="H38" s="9" t="str">
        <x:v>不选</x:v>
      </x:c>
      <x:c r="I38" s="22" t="str">
        <x:f>IF(H38="不选","",IF(OR(H38="本方收款",H38="客户直付"),IF(COUNTBLANK(E38:G38)&gt;0,"待询价",IF(AND(ISNUMBER(E38),ISNUMBER(F38),ISNUMBER(G38)),IF(OR(E38&lt;0,F38&lt;0,G38&lt;0),"待核输入",ROUND(E38*F38*G38,2)),"待询价")),"待选收款"))</x:f>
      </x:c>
      <x:c r="J38" s="13" t="str">
        <x:v>S3 p36</x:v>
      </x:c>
      <x:c r="K38" s="13" t="str">
        <x:v>DN15mm示例；设备用水及用气另询</x:v>
      </x:c>
    </x:row>
    <x:row r="39" ht="64" customHeight="1">
      <x:c r="A39" s="17" t="str">
        <x:v>Q32</x:v>
      </x:c>
      <x:c r="B39" s="18" t="str">
        <x:v>可选配套</x:v>
      </x:c>
      <x:c r="C39" s="18" t="str">
        <x:v>吊点及超重设备作业</x:v>
      </x:c>
      <x:c r="D39" s="18" t="str">
        <x:v>项</x:v>
      </x:c>
      <x:c r="E39" s="19" t="n">
        <x:v>1</x:v>
      </x:c>
      <x:c r="F39" s="19" t="n">
        <x:v>1</x:v>
      </x:c>
      <x:c r="G39" s="19"/>
      <x:c r="H39" s="9" t="str">
        <x:v>不选</x:v>
      </x:c>
      <x:c r="I39" s="23" t="str">
        <x:f>IF(H39="不选","",IF(OR(H39="本方收款",H39="客户直付"),IF(COUNTBLANK(E39:G39)&gt;0,"待询价",IF(AND(ISNUMBER(E39),ISNUMBER(F39),ISNUMBER(G39)),IF(OR(E39&lt;0,F39&lt;0,G39&lt;0),"待核输入",ROUND(E39*F39*G39,2)),"待询价")),"待选收款"))</x:f>
      </x:c>
      <x:c r="J39" s="18" t="str">
        <x:v>待询价</x:v>
      </x:c>
      <x:c r="K39" s="18" t="str">
        <x:v>需结构图及设备重量尺寸；未询价不能默认为免费</x:v>
      </x:c>
    </x:row>
    <x:row r="40" ht="64" customHeight="1">
      <x:c r="A40" s="2" t="str">
        <x:v>Q33</x:v>
      </x:c>
      <x:c r="B40" s="13" t="str">
        <x:v>可选物料</x:v>
      </x:c>
      <x:c r="C40" s="13" t="str">
        <x:v>宣传品印刷预算</x:v>
      </x:c>
      <x:c r="D40" s="13" t="str">
        <x:v>份</x:v>
      </x:c>
      <x:c r="E40" s="19" t="n">
        <x:v>100</x:v>
      </x:c>
      <x:c r="F40" s="19" t="n">
        <x:v>1</x:v>
      </x:c>
      <x:c r="G40" s="19" t="n">
        <x:v>8</x:v>
      </x:c>
      <x:c r="H40" s="9" t="str">
        <x:v>不选</x:v>
      </x:c>
      <x:c r="I40" s="22" t="str">
        <x:f>IF(H40="不选","",IF(OR(H40="本方收款",H40="客户直付"),IF(COUNTBLANK(E40:G40)&gt;0,"待询价",IF(AND(ISNUMBER(E40),ISNUMBER(F40),ISNUMBER(G40)),IF(OR(E40&lt;0,F40&lt;0,G40&lt;0),"待核输入",ROUND(E40*F40*G40,2)),"待询价")),"待选收款"))</x:f>
      </x:c>
      <x:c r="J40" s="13" t="str">
        <x:v>E</x:v>
      </x:c>
      <x:c r="K40" s="13" t="str">
        <x:v>规格及版权由客户确认</x:v>
      </x:c>
    </x:row>
    <x:row r="41" ht="64" customHeight="1">
      <x:c r="A41" s="17" t="str">
        <x:v>Q34</x:v>
      </x:c>
      <x:c r="B41" s="18" t="str">
        <x:v>客户自理</x:v>
      </x:c>
      <x:c r="C41" s="18" t="str">
        <x:v>差旅住宿及餐饮</x:v>
      </x:c>
      <x:c r="D41" s="18" t="str">
        <x:v>项</x:v>
      </x:c>
      <x:c r="E41" s="19" t="n">
        <x:v>1</x:v>
      </x:c>
      <x:c r="F41" s="19" t="n">
        <x:v>1</x:v>
      </x:c>
      <x:c r="G41" s="19"/>
      <x:c r="H41" s="9" t="str">
        <x:v>不选</x:v>
      </x:c>
      <x:c r="I41" s="23" t="str">
        <x:f>IF(H41="不选","",IF(OR(H41="本方收款",H41="客户直付"),IF(COUNTBLANK(E41:G41)&gt;0,"待询价",IF(AND(ISNUMBER(E41),ISNUMBER(F41),ISNUMBER(G41)),IF(OR(E41&lt;0,F41&lt;0,G41&lt;0),"待核输入",ROUND(E41*F41*G41,2)),"待询价")),"待选收款"))</x:f>
      </x:c>
      <x:c r="J41" s="18" t="str">
        <x:v>待询价</x:v>
      </x:c>
      <x:c r="K41" s="18" t="str">
        <x:v>默认未选；如委托代办，另行审批并计入</x:v>
      </x:c>
    </x:row>
    <x:row r="42" ht="26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26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26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32" customHeight="1">
      <x:c r="A45" s="2"/>
      <x:c r="B45" s="2"/>
      <x:c r="C45" s="2" t="str">
        <x:v>本方收款预算合计</x:v>
      </x:c>
      <x:c r="D45" s="2"/>
      <x:c r="E45" s="2"/>
      <x:c r="F45" s="2"/>
      <x:c r="G45" s="2"/>
      <x:c r="H45" s="2"/>
      <x:c r="I45" s="22" t="n">
        <x:f>IF(COUNTIFS(H8:H41,"本方收款",I8:I41,"待询价")+COUNTIFS(H8:H41,"本方收款",I8:I41,"待核输入")+COUNTIFS(H8:H41,"本方收款",I8:I41,"待选收款")&gt;0,"待补询价",SUMIFS(I8:I41,H8:H41,"本方收款"))</x:f>
        <x:v>34252</x:v>
      </x:c>
      <x:c r="J45" s="2"/>
      <x:c r="K45" s="2"/>
    </x:row>
    <x:row r="46" ht="32" customHeight="1">
      <x:c r="A46" s="2"/>
      <x:c r="B46" s="2"/>
      <x:c r="C46" s="2" t="str">
        <x:v>客户直付预算合计</x:v>
      </x:c>
      <x:c r="D46" s="2"/>
      <x:c r="E46" s="2"/>
      <x:c r="F46" s="2"/>
      <x:c r="G46" s="2"/>
      <x:c r="H46" s="2"/>
      <x:c r="I46" s="22" t="n">
        <x:f>IF(COUNTIFS(H8:H41,"客户直付",I8:I41,"待询价")+COUNTIFS(H8:H41,"客户直付",I8:I41,"待核输入")+COUNTIFS(H8:H41,"客户直付",I8:I41,"待选收款")&gt;0,"待补询价",SUMIFS(I8:I41,H8:H41,"客户直付"))</x:f>
        <x:v>59938</x:v>
      </x:c>
      <x:c r="J46" s="2"/>
      <x:c r="K46" s="2"/>
    </x:row>
    <x:row r="47" ht="32" customHeight="1">
      <x:c r="A47" s="2"/>
      <x:c r="B47" s="2"/>
      <x:c r="C47" s="2" t="str">
        <x:v>已填写价格的已选金额</x:v>
      </x:c>
      <x:c r="D47" s="2"/>
      <x:c r="E47" s="2"/>
      <x:c r="F47" s="2"/>
      <x:c r="G47" s="2"/>
      <x:c r="H47" s="2"/>
      <x:c r="I47" s="22" t="n">
        <x:f>SUM(I8:I41)</x:f>
        <x:v>94190</x:v>
      </x:c>
      <x:c r="J47" s="2"/>
      <x:c r="K47" s="2"/>
    </x:row>
    <x:row r="48" ht="32" customHeight="1">
      <x:c r="A48" s="2"/>
      <x:c r="B48" s="2"/>
      <x:c r="C48" s="2" t="str">
        <x:v>已选待处理项目数</x:v>
      </x:c>
      <x:c r="D48" s="2"/>
      <x:c r="E48" s="2"/>
      <x:c r="F48" s="2"/>
      <x:c r="G48" s="2"/>
      <x:c r="H48" s="2"/>
      <x:c r="I48" s="24" t="n">
        <x:f>COUNTIFS(I8:I41,"待询价")+COUNTIFS(I8:I41,"待核输入")+COUNTIFS(I8:I41,"待选收款")</x:f>
        <x:v>0</x:v>
      </x:c>
      <x:c r="J48" s="2"/>
      <x:c r="K48" s="2"/>
    </x:row>
    <x:row r="49" ht="32" customHeight="1">
      <x:c r="A49" s="2"/>
      <x:c r="B49" s="2"/>
      <x:c r="C49" s="26" t="str">
        <x:v>已选全口径预算 税费待核</x:v>
      </x:c>
      <x:c r="D49" s="26"/>
      <x:c r="E49" s="26"/>
      <x:c r="F49" s="26"/>
      <x:c r="G49" s="26"/>
      <x:c r="H49" s="26"/>
      <x:c r="I49" s="27" t="n">
        <x:f>IF(I48&gt;0,"待补询价",SUM(I45:I46))</x:f>
        <x:v>94190</x:v>
      </x:c>
      <x:c r="J49" s="26"/>
      <x:c r="K49" s="26"/>
    </x:row>
    <x:row r="50" ht="26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 ht="26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 ht="26" customHeight="1">
      <x:c r="A52" s="2"/>
      <x:c r="B52" s="2"/>
      <x:c r="C52" s="2" t="str">
        <x:v>清场押金不在本表费用合计内；来源编号与限制条件详见 参数与依据。</x:v>
      </x:c>
      <x:c r="D52" s="2"/>
      <x:c r="E52" s="2"/>
      <x:c r="F52" s="2"/>
      <x:c r="G52" s="2"/>
      <x:c r="H52" s="2"/>
      <x:c r="I52" s="2"/>
      <x:c r="J52" s="2"/>
      <x:c r="K52" s="2"/>
    </x:row>
    <x:row r="53" ht="26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</x:sheetData>
  <x:conditionalFormatting sqref="I8:I41">
    <x:cfRule type="containsText" dxfId="0" priority="1" operator="containsText" text="待"/>
  </x:conditionalFormatting>
  <x:conditionalFormatting sqref="I45:I49">
    <x:cfRule type="containsText" dxfId="1" priority="2" operator="containsText" text="待"/>
  </x:conditionalFormatting>
  <x:dataValidations count="1">
    <x:dataValidation type="list" sqref="H8:H41">
      <x:formula1>"本方收款,客户直付,不选"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3.1299991607666" hidden="0" customWidth="1"/>
    <x:col min="2" max="2" width="23.1299991607666" hidden="0" customWidth="1"/>
    <x:col min="3" max="3" width="40" hidden="0" customWidth="1"/>
    <x:col min="4" max="4" width="18.75" hidden="0" customWidth="1"/>
    <x:col min="5" max="5" width="27.5" hidden="0" customWidth="1"/>
    <x:col min="6" max="6" width="17.5" hidden="0" customWidth="1"/>
    <x:col min="7" max="7" width="23.75" hidden="0" customWidth="1"/>
    <x:col min="8" max="8" width="35.630001068115234" hidden="0" customWidth="1"/>
    <x:col min="9" max="9" width="18.75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6" customHeight="1">
      <x:c r="A2" s="3" t="str">
        <x:v>变更审批与最终结算</x:v>
      </x:c>
      <x:c r="B2" s="2"/>
      <x:c r="C2" s="2"/>
      <x:c r="D2" s="2"/>
      <x:c r="E2" s="2"/>
      <x:c r="F2" s="2"/>
      <x:c r="G2" s="2"/>
      <x:c r="H2" s="2"/>
      <x:c r="I2" s="2"/>
    </x:row>
    <x:row r="3" ht="26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26" customHeight="1">
      <x:c r="A4" s="2" t="str">
        <x:v>只将本方服务费用差额填入本表；客户直付变化更新费用明细并保存新版本，避免同时计入。</x:v>
      </x:c>
      <x:c r="B4" s="2"/>
      <x:c r="C4" s="2"/>
      <x:c r="D4" s="2"/>
      <x:c r="E4" s="2"/>
      <x:c r="F4" s="2"/>
      <x:c r="G4" s="2"/>
      <x:c r="H4" s="2"/>
      <x:c r="I4" s="2"/>
    </x:row>
    <x:row r="5" ht="26" customHeight="1">
      <x:c r="A5" s="2" t="str">
        <x:v>空白行是待填模板；只有状态为已批准的费用变更进入修订预算，审批人及证据须由人工核验。</x:v>
      </x:c>
      <x:c r="B5" s="2"/>
      <x:c r="C5" s="2"/>
      <x:c r="D5" s="2"/>
      <x:c r="E5" s="2"/>
      <x:c r="F5" s="2"/>
      <x:c r="G5" s="2"/>
      <x:c r="H5" s="2"/>
      <x:c r="I5" s="2"/>
    </x:row>
    <x:row r="6" ht="34" customHeight="1">
      <x:c r="A6" s="7" t="str">
        <x:v>变更编号</x:v>
      </x:c>
      <x:c r="B6" s="7" t="str">
        <x:v>原报价版本</x:v>
      </x:c>
      <x:c r="C6" s="7" t="str">
        <x:v>变更原因及内容</x:v>
      </x:c>
      <x:c r="D6" s="7" t="str">
        <x:v>本方差额 元</x:v>
      </x:c>
      <x:c r="E6" s="7" t="str">
        <x:v>排期影响</x:v>
      </x:c>
      <x:c r="F6" s="7" t="str">
        <x:v>审批状态</x:v>
      </x:c>
      <x:c r="G6" s="7" t="str">
        <x:v>客户及本方确认人</x:v>
      </x:c>
      <x:c r="H6" s="7" t="str">
        <x:v>确认日期及依据位置</x:v>
      </x:c>
      <x:c r="I6" s="7" t="str">
        <x:v>计入预算差额</x:v>
      </x:c>
    </x:row>
    <x:row r="7" ht="42" customHeight="1">
      <x:c r="A7" s="9"/>
      <x:c r="B7" s="9"/>
      <x:c r="C7" s="9"/>
      <x:c r="D7" s="28"/>
      <x:c r="E7" s="9"/>
      <x:c r="F7" s="9"/>
      <x:c r="G7" s="9"/>
      <x:c r="H7" s="9"/>
      <x:c r="I7" s="22" t="n">
        <x:f>IF(F7="已批准",IF(COUNTBLANK(D7)&gt;0,"待补金额",IF(ISNUMBER(D7),D7,"待补金额")),0)</x:f>
        <x:v>0</x:v>
      </x:c>
    </x:row>
    <x:row r="8" ht="42" customHeight="1">
      <x:c r="A8" s="9"/>
      <x:c r="B8" s="9"/>
      <x:c r="C8" s="9"/>
      <x:c r="D8" s="28"/>
      <x:c r="E8" s="9"/>
      <x:c r="F8" s="9"/>
      <x:c r="G8" s="9"/>
      <x:c r="H8" s="9"/>
      <x:c r="I8" s="22" t="n">
        <x:f>IF(F8="已批准",IF(COUNTBLANK(D8)&gt;0,"待补金额",IF(ISNUMBER(D8),D8,"待补金额")),0)</x:f>
        <x:v>0</x:v>
      </x:c>
    </x:row>
    <x:row r="9" ht="42" customHeight="1">
      <x:c r="A9" s="9"/>
      <x:c r="B9" s="9"/>
      <x:c r="C9" s="9"/>
      <x:c r="D9" s="28"/>
      <x:c r="E9" s="9"/>
      <x:c r="F9" s="9"/>
      <x:c r="G9" s="9"/>
      <x:c r="H9" s="9"/>
      <x:c r="I9" s="22" t="n">
        <x:f>IF(F9="已批准",IF(COUNTBLANK(D9)&gt;0,"待补金额",IF(ISNUMBER(D9),D9,"待补金额")),0)</x:f>
        <x:v>0</x:v>
      </x:c>
    </x:row>
    <x:row r="10" ht="42" customHeight="1">
      <x:c r="A10" s="9"/>
      <x:c r="B10" s="9"/>
      <x:c r="C10" s="9"/>
      <x:c r="D10" s="28"/>
      <x:c r="E10" s="9"/>
      <x:c r="F10" s="9"/>
      <x:c r="G10" s="9"/>
      <x:c r="H10" s="9"/>
      <x:c r="I10" s="22" t="n">
        <x:f>IF(F10="已批准",IF(COUNTBLANK(D10)&gt;0,"待补金额",IF(ISNUMBER(D10),D10,"待补金额")),0)</x:f>
        <x:v>0</x:v>
      </x:c>
    </x:row>
    <x:row r="11" ht="42" customHeight="1">
      <x:c r="A11" s="9"/>
      <x:c r="B11" s="9"/>
      <x:c r="C11" s="9"/>
      <x:c r="D11" s="28"/>
      <x:c r="E11" s="9"/>
      <x:c r="F11" s="9"/>
      <x:c r="G11" s="9"/>
      <x:c r="H11" s="9"/>
      <x:c r="I11" s="22" t="n">
        <x:f>IF(F11="已批准",IF(COUNTBLANK(D11)&gt;0,"待补金额",IF(ISNUMBER(D11),D11,"待补金额")),0)</x:f>
        <x:v>0</x:v>
      </x:c>
    </x:row>
    <x:row r="12" ht="42" customHeight="1">
      <x:c r="A12" s="9"/>
      <x:c r="B12" s="9"/>
      <x:c r="C12" s="9"/>
      <x:c r="D12" s="28"/>
      <x:c r="E12" s="9"/>
      <x:c r="F12" s="9"/>
      <x:c r="G12" s="9"/>
      <x:c r="H12" s="9"/>
      <x:c r="I12" s="22" t="n">
        <x:f>IF(F12="已批准",IF(COUNTBLANK(D12)&gt;0,"待补金额",IF(ISNUMBER(D12),D12,"待补金额")),0)</x:f>
        <x:v>0</x:v>
      </x:c>
    </x:row>
    <x:row r="13" ht="42" customHeight="1">
      <x:c r="A13" s="9"/>
      <x:c r="B13" s="9"/>
      <x:c r="C13" s="9"/>
      <x:c r="D13" s="28"/>
      <x:c r="E13" s="9"/>
      <x:c r="F13" s="9"/>
      <x:c r="G13" s="9"/>
      <x:c r="H13" s="9"/>
      <x:c r="I13" s="22" t="n">
        <x:f>IF(F13="已批准",IF(COUNTBLANK(D13)&gt;0,"待补金额",IF(ISNUMBER(D13),D13,"待补金额")),0)</x:f>
        <x:v>0</x:v>
      </x:c>
    </x:row>
    <x:row r="14" ht="42" customHeight="1">
      <x:c r="A14" s="9"/>
      <x:c r="B14" s="9"/>
      <x:c r="C14" s="9"/>
      <x:c r="D14" s="28"/>
      <x:c r="E14" s="9"/>
      <x:c r="F14" s="9"/>
      <x:c r="G14" s="9"/>
      <x:c r="H14" s="9"/>
      <x:c r="I14" s="22" t="n">
        <x:f>IF(F14="已批准",IF(COUNTBLANK(D14)&gt;0,"待补金额",IF(ISNUMBER(D14),D14,"待补金额")),0)</x:f>
        <x:v>0</x:v>
      </x:c>
    </x:row>
    <x:row r="15" ht="26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26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34" customHeight="1">
      <x:c r="A17" s="2" t="str">
        <x:v>已批准变更差额</x:v>
      </x:c>
      <x:c r="B17" s="22" t="n">
        <x:f>IF(COUNTIFS(I7:I14,"待补金额")&gt;0,"待补金额",SUM(I7:I14))</x:f>
        <x:v>0</x:v>
      </x:c>
      <x:c r="C17" s="2"/>
      <x:c r="D17" s="2"/>
      <x:c r="E17" s="2"/>
      <x:c r="F17" s="2"/>
      <x:c r="G17" s="2"/>
      <x:c r="H17" s="2"/>
      <x:c r="I17" s="2"/>
    </x:row>
    <x:row r="18" ht="34" customHeight="1">
      <x:c r="A18" s="2" t="str">
        <x:v>修订本方服务预算</x:v>
      </x:c>
      <x:c r="B18" s="22" t="n">
        <x:f>IF(AND(ISNUMBER(B17),ISNUMBER('费用明细'!I45)),ROUND('费用明细'!I45+B17,2),"待补询价")</x:f>
        <x:v>34252</x:v>
      </x:c>
      <x:c r="C18" s="2"/>
      <x:c r="D18" s="2"/>
      <x:c r="E18" s="2"/>
      <x:c r="F18" s="2"/>
      <x:c r="G18" s="2"/>
      <x:c r="H18" s="2"/>
      <x:c r="I18" s="2"/>
    </x:row>
    <x:row r="19" ht="34" customHeight="1">
      <x:c r="A19" s="2" t="str">
        <x:v>最终确认本方服务金额</x:v>
      </x:c>
      <x:c r="B19" s="28"/>
      <x:c r="C19" s="2"/>
      <x:c r="D19" s="2" t="str">
        <x:v>以双方签字结算为准，不能直接把预算当实际结算。</x:v>
      </x:c>
      <x:c r="E19" s="2"/>
      <x:c r="F19" s="2"/>
      <x:c r="G19" s="2"/>
      <x:c r="H19" s="2"/>
      <x:c r="I19" s="2"/>
    </x:row>
    <x:row r="20" ht="34" customHeight="1">
      <x:c r="A20" s="2" t="str">
        <x:v>本方服务款累计已付</x:v>
      </x:c>
      <x:c r="B20" s="28"/>
      <x:c r="C20" s="2"/>
      <x:c r="D20" s="2" t="str">
        <x:v>仅填支付给本方的服务款；尚未付款时可明确填写0。</x:v>
      </x:c>
      <x:c r="E20" s="2"/>
      <x:c r="F20" s="2"/>
      <x:c r="G20" s="2"/>
      <x:c r="H20" s="2"/>
      <x:c r="I20" s="2"/>
    </x:row>
    <x:row r="21" ht="34" customHeight="1">
      <x:c r="A21" s="2" t="str">
        <x:v>本方尾款或应退金额</x:v>
      </x:c>
      <x:c r="B21" s="22" t="str">
        <x:f>IF(COUNTBLANK(B19:B20)&gt;0,"待填结算及已付",IF(AND(ISNUMBER(B19),ISNUMBER(B20)),ROUND(B19-B20,2),"待核结算输入"))</x:f>
        <x:v>待填结算及已付</x:v>
      </x:c>
      <x:c r="C21" s="2"/>
      <x:c r="D21" s="2" t="str">
        <x:v>正值为应付，负值为应退；不混入场馆押金与客户直付。</x:v>
      </x:c>
      <x:c r="E21" s="2"/>
      <x:c r="F21" s="2"/>
      <x:c r="G21" s="2"/>
      <x:c r="H21" s="2"/>
      <x:c r="I21" s="2"/>
    </x:row>
    <x:row r="22" ht="34" customHeight="1">
      <x:c r="A22" s="2"/>
      <x:c r="B22" s="22"/>
      <x:c r="C22" s="2"/>
      <x:c r="D22" s="2"/>
      <x:c r="E22" s="2"/>
      <x:c r="F22" s="2"/>
      <x:c r="G22" s="2"/>
      <x:c r="H22" s="2"/>
      <x:c r="I22" s="2"/>
    </x:row>
    <x:row r="23" ht="34" customHeight="1">
      <x:c r="A23" s="2"/>
      <x:c r="B23" s="22"/>
      <x:c r="C23" s="2"/>
      <x:c r="D23" s="2"/>
      <x:c r="E23" s="2"/>
      <x:c r="F23" s="2"/>
      <x:c r="G23" s="2"/>
      <x:c r="H23" s="2"/>
      <x:c r="I23" s="2"/>
    </x:row>
    <x:row r="24" ht="34" customHeight="1">
      <x:c r="A24" s="2" t="str">
        <x:v>清场押金预算参考</x:v>
      </x:c>
      <x:c r="B24" s="22" t="n">
        <x:f>'参数与依据'!B18</x:f>
        <x:v>10000</x:v>
      </x:c>
      <x:c r="C24" s="2"/>
      <x:c r="D24" s="2"/>
      <x:c r="E24" s="2"/>
      <x:c r="F24" s="2"/>
      <x:c r="G24" s="2"/>
      <x:c r="H24" s="2"/>
      <x:c r="I24" s="2"/>
    </x:row>
    <x:row r="25" ht="34" customHeight="1">
      <x:c r="A25" s="2" t="str">
        <x:v>场馆押金实际缴纳</x:v>
      </x:c>
      <x:c r="B25" s="28"/>
      <x:c r="C25" s="2"/>
      <x:c r="D25" s="2" t="str">
        <x:v>押金假设客户直接缴给场馆，本方服务款不承担代收代退。</x:v>
      </x:c>
      <x:c r="E25" s="2"/>
      <x:c r="F25" s="2"/>
      <x:c r="G25" s="2"/>
      <x:c r="H25" s="2"/>
      <x:c r="I25" s="2"/>
    </x:row>
    <x:row r="26" ht="34" customHeight="1">
      <x:c r="A26" s="2" t="str">
        <x:v>场馆押金已退金额</x:v>
      </x:c>
      <x:c r="B26" s="28"/>
      <x:c r="C26" s="2"/>
      <x:c r="D26" s="2"/>
      <x:c r="E26" s="2"/>
      <x:c r="F26" s="2"/>
      <x:c r="G26" s="2"/>
      <x:c r="H26" s="2"/>
      <x:c r="I26" s="2"/>
    </x:row>
    <x:row r="27" ht="34" customHeight="1">
      <x:c r="A27" s="2" t="str">
        <x:v>场馆确认押金扣款</x:v>
      </x:c>
      <x:c r="B27" s="28"/>
      <x:c r="C27" s="2"/>
      <x:c r="D27" s="2" t="str">
        <x:v>填有凭据的场馆扣款；不得再把同一笔扣款重复加进本方结算。</x:v>
      </x:c>
      <x:c r="E27" s="2"/>
      <x:c r="F27" s="2"/>
      <x:c r="G27" s="2"/>
      <x:c r="H27" s="2"/>
      <x:c r="I27" s="2"/>
    </x:row>
    <x:row r="28" ht="34" customHeight="1">
      <x:c r="A28" s="2" t="str">
        <x:v>场馆押金待退余额</x:v>
      </x:c>
      <x:c r="B28" s="22" t="str">
        <x:f>IF(COUNT(B25:B27)=3,ROUND(B25-B26-B27,2),"待填收退扣款")</x:f>
        <x:v>待填收退扣款</x:v>
      </x:c>
      <x:c r="C28" s="2"/>
      <x:c r="D28" s="2" t="str">
        <x:v>退款到账时间以场馆确认凭据为准；不填写虚构退款日期。</x:v>
      </x:c>
      <x:c r="E28" s="2"/>
      <x:c r="F28" s="2"/>
      <x:c r="G28" s="2"/>
      <x:c r="H28" s="2"/>
      <x:c r="I28" s="2"/>
    </x:row>
    <x:row r="29" ht="26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26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26" customHeight="1">
      <x:c r="A31" s="2" t="str">
        <x:v>结算确认 客户授权人</x:v>
      </x:c>
      <x:c r="B31" s="9"/>
      <x:c r="C31" s="9"/>
      <x:c r="D31" s="2" t="str">
        <x:v>隐私：证件、手机号、开票税号与银行资料另行受控传递，不填入公开仓库中的示例文件。</x:v>
      </x:c>
      <x:c r="E31" s="2"/>
      <x:c r="F31" s="2"/>
      <x:c r="G31" s="2"/>
      <x:c r="H31" s="2"/>
      <x:c r="I31" s="2"/>
    </x:row>
    <x:row r="32" ht="26" customHeight="1">
      <x:c r="A32" s="2" t="str">
        <x:v>结算确认 报价方负责人</x:v>
      </x:c>
      <x:c r="B32" s="9"/>
      <x:c r="C32" s="9"/>
      <x:c r="D32" s="2" t="str">
        <x:v>留存签字报价、变更版本和验收凭据；保留期限与访问人员由双方约定。</x:v>
      </x:c>
      <x:c r="E32" s="2"/>
      <x:c r="F32" s="2"/>
      <x:c r="G32" s="2"/>
      <x:c r="H32" s="2"/>
      <x:c r="I32" s="2"/>
    </x:row>
    <x:row r="33" ht="26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26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26" customHeight="1">
      <x:c r="A35" s="2"/>
      <x:c r="B35" s="2"/>
      <x:c r="C35" s="2"/>
      <x:c r="D35" s="2"/>
      <x:c r="E35" s="2"/>
      <x:c r="F35" s="2"/>
      <x:c r="G35" s="2"/>
      <x:c r="H35" s="2"/>
      <x:c r="I35" s="2"/>
    </x:row>
  </x:sheetData>
  <x:conditionalFormatting sqref="I7:I14">
    <x:cfRule type="containsText" dxfId="2" priority="1" operator="containsText" text="待"/>
  </x:conditionalFormatting>
  <x:conditionalFormatting sqref="B17:B28">
    <x:cfRule type="containsText" dxfId="3" priority="2" operator="containsText" text="待"/>
  </x:conditionalFormatting>
  <x:dataValidations count="1">
    <x:dataValidation type="list" sqref="F7:F14">
      <x:formula1>"待审批,已批准,已驳回"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6385A0"/>
  </x:sheetPr>
  <x:sheetViews>
    <x:sheetView showGridLines="0" workbookViewId="0"/>
  </x:sheetViews>
  <x:sheetFormatPr defaultRowHeight="15"/>
  <x:cols>
    <x:col min="1" max="1" width="26.25" hidden="0" customWidth="1"/>
    <x:col min="2" max="2" width="29.3799991607666" hidden="0" customWidth="1"/>
    <x:col min="3" max="3" width="3.5" hidden="0" customWidth="1"/>
    <x:col min="4" max="4" width="100" hidden="0" customWidth="1"/>
  </x:cols>
  <x:sheetData>
    <x:row r="1" ht="26" customHeight="1">
      <x:c r="A1" s="2"/>
      <x:c r="B1" s="2"/>
      <x:c r="C1" s="2"/>
      <x:c r="D1" s="2"/>
    </x:row>
    <x:row r="2" ht="36" customHeight="1">
      <x:c r="A2" s="3" t="str">
        <x:v>报价参数与价格依据</x:v>
      </x:c>
      <x:c r="B2" s="2"/>
      <x:c r="C2" s="2"/>
      <x:c r="D2" s="2"/>
    </x:row>
    <x:row r="3" ht="26" customHeight="1">
      <x:c r="A3" s="2"/>
      <x:c r="B3" s="2"/>
      <x:c r="C3" s="2"/>
      <x:c r="D3" s="2"/>
    </x:row>
    <x:row r="4" ht="34" customHeight="1">
      <x:c r="A4" s="7" t="str">
        <x:v>可修改参数</x:v>
      </x:c>
      <x:c r="B4" s="7" t="str">
        <x:v>示例值或待填写</x:v>
      </x:c>
      <x:c r="C4" s="2"/>
      <x:c r="D4" s="2"/>
    </x:row>
    <x:row r="5" ht="26" customHeight="1">
      <x:c r="A5" s="2" t="str">
        <x:v>城市</x:v>
      </x:c>
      <x:c r="B5" s="9" t="str">
        <x:v>上海</x:v>
      </x:c>
      <x:c r="C5" s="2"/>
      <x:c r="D5" s="2" t="str">
        <x:v>仅上海为用户已确认信息；36㎡、展览3天、进场1天、撤场1天均为预算示例。</x:v>
      </x:c>
    </x:row>
    <x:row r="6" ht="26" customHeight="1">
      <x:c r="A6" s="2" t="str">
        <x:v>展会名称及展位号</x:v>
      </x:c>
      <x:c r="B6" s="9" t="str">
        <x:v>待确认</x:v>
      </x:c>
      <x:c r="C6" s="2"/>
      <x:c r="D6" s="2"/>
    </x:row>
    <x:row r="7" ht="26" customHeight="1">
      <x:c r="A7" s="2" t="str">
        <x:v>展位面积 ㎡</x:v>
      </x:c>
      <x:c r="B7" s="9" t="n">
        <x:v>36</x:v>
      </x:c>
      <x:c r="C7" s="2"/>
      <x:c r="D7" s="2" t="str">
        <x:v>面积联动光地、框架、地毯、管理费及清运；天数只联动按天计费项目。</x:v>
      </x:c>
    </x:row>
    <x:row r="8" ht="26" customHeight="1">
      <x:c r="A8" s="2" t="str">
        <x:v>展览天数</x:v>
      </x:c>
      <x:c r="B8" s="9" t="n">
        <x:v>3</x:v>
      </x:c>
      <x:c r="C8" s="2"/>
      <x:c r="D8" s="2"/>
    </x:row>
    <x:row r="9" ht="26" customHeight="1">
      <x:c r="A9" s="2" t="str">
        <x:v>进场天数</x:v>
      </x:c>
      <x:c r="B9" s="9" t="n">
        <x:v>1</x:v>
      </x:c>
      <x:c r="C9" s="2"/>
      <x:c r="D9" s="2" t="str">
        <x:v>进撤场天数用于排期记录，固定项不自动按天加价；超出包干范围走变更审批。</x:v>
      </x:c>
    </x:row>
    <x:row r="10" ht="26" customHeight="1">
      <x:c r="A10" s="2" t="str">
        <x:v>撤场天数</x:v>
      </x:c>
      <x:c r="B10" s="9" t="n">
        <x:v>1</x:v>
      </x:c>
      <x:c r="C10" s="2"/>
      <x:c r="D10" s="2"/>
    </x:row>
    <x:row r="11" ht="38" customHeight="1">
      <x:c r="A11" s="2" t="str">
        <x:v>展台形式</x:v>
      </x:c>
      <x:c r="B11" s="10" t="str">
        <x:v>单层模块化 光地自建</x:v>
      </x:c>
      <x:c r="C11" s="2"/>
      <x:c r="D11" s="2" t="str">
        <x:v>切换标摊、双层、超高、重型展品时须重新核定整套范围；不能只改形式名称。</x:v>
      </x:c>
    </x:row>
    <x:row r="12" ht="38" customHeight="1">
      <x:c r="A12" s="2" t="str">
        <x:v>报价版本</x:v>
      </x:c>
      <x:c r="B12" s="10" t="str">
        <x:v>V0.1 预算示例 待双方确认</x:v>
      </x:c>
      <x:c r="C12" s="2"/>
      <x:c r="D12" s="2"/>
    </x:row>
    <x:row r="13" ht="38" customHeight="1">
      <x:c r="A13" s="2" t="str">
        <x:v>币种</x:v>
      </x:c>
      <x:c r="B13" s="10" t="str">
        <x:v>人民币 CNY</x:v>
      </x:c>
      <x:c r="C13" s="2"/>
      <x:c r="D13" s="2"/>
    </x:row>
    <x:row r="14" ht="58" customHeight="1">
      <x:c r="A14" s="2" t="str">
        <x:v>税费口径</x:v>
      </x:c>
      <x:c r="B14" s="10" t="str">
        <x:v>未核实 定稿前逐项确认</x:v>
      </x:c>
      <x:c r="C14" s="2"/>
      <x:c r="D14" s="13" t="str">
        <x:v>金额为预算参考口径，公开来源未统一注明含税条件，未做税率换算。逐项确认含税单价及开票条件后才可对外定稿；当前合计未另加税额，不代表免税或最终应付。</x:v>
      </x:c>
    </x:row>
    <x:row r="15" ht="38" customHeight="1">
      <x:c r="A15" s="2" t="str">
        <x:v>报价有效期至</x:v>
      </x:c>
      <x:c r="B15" s="10" t="str">
        <x:v>待双方约定</x:v>
      </x:c>
      <x:c r="C15" s="2"/>
      <x:c r="D15" s="2"/>
    </x:row>
    <x:row r="16" ht="38" customHeight="1">
      <x:c r="A16" s="2" t="str">
        <x:v>客户授权代表</x:v>
      </x:c>
      <x:c r="B16" s="10" t="str">
        <x:v>待填写</x:v>
      </x:c>
      <x:c r="C16" s="2"/>
      <x:c r="D16" s="2"/>
    </x:row>
    <x:row r="17" ht="38" customHeight="1">
      <x:c r="A17" s="2" t="str">
        <x:v>报价方负责人</x:v>
      </x:c>
      <x:c r="B17" s="10" t="str">
        <x:v>待填写</x:v>
      </x:c>
      <x:c r="C17" s="2"/>
      <x:c r="D17" s="2"/>
    </x:row>
    <x:row r="18" ht="38" customHeight="1">
      <x:c r="A18" s="2" t="str">
        <x:v>可退清场押金参考</x:v>
      </x:c>
      <x:c r="B18" s="12" t="n">
        <x:v>10000</x:v>
      </x:c>
      <x:c r="C18" s="2"/>
      <x:c r="D18" s="2" t="str">
        <x:v>押金仅作客户直付场馆的资金占用参考，独立于服务费；实际额度及退款条件待确认。</x:v>
      </x:c>
    </x:row>
    <x:row r="19" ht="38" customHeight="1">
      <x:c r="A19" s="2" t="str">
        <x:v>付款比例 首期</x:v>
      </x:c>
      <x:c r="B19" s="11" t="n">
        <x:v>0.4</x:v>
      </x:c>
      <x:c r="C19" s="2"/>
      <x:c r="D19" s="2"/>
    </x:row>
    <x:row r="20" ht="38" customHeight="1">
      <x:c r="A20" s="2" t="str">
        <x:v>付款比例 进场前</x:v>
      </x:c>
      <x:c r="B20" s="11" t="n">
        <x:v>0.5</x:v>
      </x:c>
      <x:c r="C20" s="2"/>
      <x:c r="D20" s="2" t="str">
        <x:v>40% / 50% / 10%为建议，可修改；不套用于客户直付项目，第三方按其订单付款。</x:v>
      </x:c>
    </x:row>
    <x:row r="21" ht="38" customHeight="1">
      <x:c r="A21" s="2" t="str">
        <x:v>付款比例 验收尾款</x:v>
      </x:c>
      <x:c r="B21" s="11" t="n">
        <x:v>0.1</x:v>
      </x:c>
      <x:c r="C21" s="2"/>
      <x:c r="D21" s="2"/>
    </x:row>
    <x:row r="22" ht="26" customHeight="1">
      <x:c r="A22" s="2"/>
      <x:c r="B22" s="2"/>
      <x:c r="C22" s="2"/>
      <x:c r="D22" s="2"/>
    </x:row>
    <x:row r="23" ht="26" customHeight="1">
      <x:c r="A23" s="2"/>
      <x:c r="B23" s="2"/>
      <x:c r="C23" s="2"/>
      <x:c r="D23" s="2"/>
    </x:row>
    <x:row r="24" ht="26" customHeight="1">
      <x:c r="A24" s="14" t="str">
        <x:v>价格依据 核查日期 2026年10月23日</x:v>
      </x:c>
      <x:c r="B24" s="2"/>
      <x:c r="C24" s="2"/>
      <x:c r="D24" s="2"/>
    </x:row>
    <x:row r="25" ht="26" customHeight="1">
      <x:c r="A25" s="2"/>
      <x:c r="B25" s="2"/>
      <x:c r="C25" s="2"/>
      <x:c r="D25" s="2"/>
    </x:row>
    <x:row r="26" ht="26" customHeight="1">
      <x:c r="A26" s="2"/>
      <x:c r="B26" s="2"/>
      <x:c r="C26" s="2"/>
      <x:c r="D26" s="2"/>
    </x:row>
    <x:row r="27" ht="50" customHeight="1">
      <x:c r="A27" s="15" t="str">
        <x:v>S1</x:v>
      </x:c>
      <x:c r="B27" s="16" t="str">
        <x:v>上海法兰克福汽配展 2026 参展费用</x:v>
      </x:c>
      <x:c r="C27" s="2"/>
      <x:c r="D27" s="13" t="str">
        <x:v>https://automechanika-shanghai.hk.messefrankfurt.com/shanghai/zh-cn/planning-preparation/exhibitors.html</x:v>
      </x:c>
    </x:row>
    <x:row r="28" ht="50" customHeight="1">
      <x:c r="A28" s="2"/>
      <x:c r="B28" s="2"/>
      <x:c r="C28" s="2"/>
      <x:c r="D28" s="13" t="str">
        <x:v>仅该展会B区光地为1500元/㎡/展期，另有2000元媒体组合服务；本例借作预算锚点。原展期为4天，不按本例3天折算；展会尚未选定，不能视为上海统一场租。</x:v>
      </x:c>
    </x:row>
    <x:row r="29" ht="26" customHeight="1">
      <x:c r="A29" s="2"/>
      <x:c r="B29" s="2"/>
      <x:c r="C29" s="2"/>
      <x:c r="D29" s="2"/>
    </x:row>
    <x:row r="30" ht="26" customHeight="1">
      <x:c r="A30" s="2"/>
      <x:c r="B30" s="2"/>
      <x:c r="C30" s="2"/>
      <x:c r="D30" s="2"/>
    </x:row>
    <x:row r="31" ht="26" customHeight="1">
      <x:c r="A31" s="2"/>
      <x:c r="B31" s="2"/>
      <x:c r="C31" s="2"/>
      <x:c r="D31" s="2"/>
    </x:row>
    <x:row r="32" ht="50" customHeight="1">
      <x:c r="A32" s="15" t="str">
        <x:v>S2</x:v>
      </x:c>
      <x:c r="B32" s="16" t="str">
        <x:v>广交会 SH36标准1 官方参考方案</x:v>
      </x:c>
      <x:c r="C32" s="2"/>
      <x:c r="D32" s="13" t="str">
        <x:v>https://cief.cantonfair.org.cn/cn/exhibitor/exhibition/design_detail.aspx?oid=65761</x:v>
      </x:c>
    </x:row>
    <x:row r="33" ht="50" customHeight="1">
      <x:c r="A33" s="2"/>
      <x:c r="B33" s="2"/>
      <x:c r="C33" s="2"/>
      <x:c r="D33" s="13" t="str">
        <x:v>2026-03-19公布的36㎡模块化展台方案。仅作跨城市预算锚点；框架15000元/项，本例约420元/㎡；部分展具单价参考该方案，不直接照搬其整包总价或基础服务费。</x:v>
      </x:c>
    </x:row>
    <x:row r="34" ht="26" customHeight="1">
      <x:c r="A34" s="2"/>
      <x:c r="B34" s="2"/>
      <x:c r="C34" s="2"/>
      <x:c r="D34" s="2"/>
    </x:row>
    <x:row r="35" ht="26" customHeight="1">
      <x:c r="A35" s="2"/>
      <x:c r="B35" s="2"/>
      <x:c r="C35" s="2"/>
      <x:c r="D35" s="2"/>
    </x:row>
    <x:row r="36" ht="26" customHeight="1">
      <x:c r="A36" s="2"/>
      <x:c r="B36" s="2"/>
      <x:c r="C36" s="2"/>
      <x:c r="D36" s="2"/>
    </x:row>
    <x:row r="37" ht="50" customHeight="1">
      <x:c r="A37" s="15" t="str">
        <x:v>S3</x:v>
      </x:c>
      <x:c r="B37" s="16" t="str">
        <x:v>APPPEXPO 上海国际广印展2026参展商手册</x:v>
      </x:c>
      <x:c r="C37" s="2"/>
      <x:c r="D37" s="13" t="str">
        <x:v>https://res.apppexpo.com/apppexpo/b0f4998559564848882abdcfe41b11c2.pdf</x:v>
      </x:c>
    </x:row>
    <x:row r="38" ht="50" customHeight="1">
      <x:c r="A38" s="2"/>
      <x:c r="B38" s="2"/>
      <x:c r="C38" s="2"/>
      <x:c r="D38" s="13" t="str">
        <x:v>印刷页33、34、36：管理费28元/㎡/展期；≤72㎡清场押金10000元；15A/380V照明电箱1830元；示例加班1100元/小时/1000㎡，共享10M宽带4500元，展台用水2970元。仅适用该届对应条件，目标展会需重新询价。</x:v>
      </x:c>
    </x:row>
    <x:row r="39" ht="26" customHeight="1">
      <x:c r="A39" s="2"/>
      <x:c r="B39" s="2"/>
      <x:c r="C39" s="2"/>
      <x:c r="D39" s="2"/>
    </x:row>
    <x:row r="40" ht="26" customHeight="1">
      <x:c r="A40" s="2"/>
      <x:c r="B40" s="2"/>
      <x:c r="C40" s="2"/>
      <x:c r="D40" s="2"/>
    </x:row>
    <x:row r="41" ht="26" customHeight="1">
      <x:c r="A41" s="2"/>
      <x:c r="B41" s="2"/>
      <x:c r="C41" s="2"/>
      <x:c r="D41" s="2"/>
    </x:row>
    <x:row r="42" ht="50" customHeight="1">
      <x:c r="A42" s="15" t="str">
        <x:v>E</x:v>
      </x:c>
      <x:c r="B42" s="16" t="str">
        <x:v>方案编制人的可调整预算假设</x:v>
      </x:c>
      <x:c r="C42" s="2"/>
      <x:c r="D42" s="13" t="str">
        <x:v>内部预算假设 无供应商实盘</x:v>
      </x:c>
    </x:row>
    <x:row r="43" ht="50" customHeight="1">
      <x:c r="A43" s="2"/>
      <x:c r="B43" s="2"/>
      <x:c r="C43" s="2"/>
      <x:c r="D43" s="13" t="str">
        <x:v>无供应商实盘或市场均价证据。按本例36㎡、单层模块化、普通工作时段和轻型展品拟定；所有数量与价格可修改，须用上海目标展会及供应商正式报价替换。</x:v>
      </x:c>
    </x:row>
    <x:row r="44" ht="26" customHeight="1">
      <x:c r="A44" s="2"/>
      <x:c r="B44" s="2"/>
      <x:c r="C44" s="2"/>
      <x:c r="D44" s="2"/>
    </x:row>
    <x:row r="45" ht="26" customHeight="1">
      <x:c r="A45" s="2"/>
      <x:c r="B45" s="2"/>
      <x:c r="C45" s="2"/>
      <x:c r="D45" s="2"/>
    </x:row>
    <x:row r="46" ht="26" customHeight="1">
      <x:c r="A46" s="2"/>
      <x:c r="B46" s="2"/>
      <x:c r="C46" s="2"/>
      <x:c r="D46" s="2"/>
    </x:row>
  </x:sheetData>
  <x:pageMargins left="0.7" right="0.7" top="0.75" bottom="0.75" header="0.3" footer="0.3"/>
</x:worksheet>
</file>